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C7B72B8-3A62-4BBC-A988-10E4652C4813}" xr6:coauthVersionLast="47" xr6:coauthVersionMax="47" xr10:uidLastSave="{00000000-0000-0000-0000-000000000000}"/>
  <bookViews>
    <workbookView xWindow="-120" yWindow="-120" windowWidth="24240" windowHeight="13020" xr2:uid="{D9A5CB49-8FD7-41DB-A183-E3F962222466}"/>
  </bookViews>
  <sheets>
    <sheet name="Farm_Data" sheetId="1" r:id="rId1"/>
  </sheets>
  <definedNames>
    <definedName name="_xlnm._FilterDatabase" localSheetId="0" hidden="1">Farm_Data!$A$1:$Z$201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U201" i="1" l="1"/>
  <c r="T201" i="1"/>
  <c r="S201" i="1"/>
  <c r="R201" i="1"/>
  <c r="Q201" i="1"/>
  <c r="P201" i="1"/>
  <c r="O201" i="1"/>
  <c r="U200" i="1"/>
  <c r="T200" i="1"/>
  <c r="S200" i="1"/>
  <c r="R200" i="1"/>
  <c r="Q200" i="1"/>
  <c r="P200" i="1"/>
  <c r="O200" i="1"/>
  <c r="N200" i="1"/>
  <c r="U199" i="1"/>
  <c r="T199" i="1"/>
  <c r="S199" i="1"/>
  <c r="R199" i="1"/>
  <c r="Q199" i="1"/>
  <c r="P199" i="1"/>
  <c r="O199" i="1"/>
  <c r="N199" i="1"/>
  <c r="U198" i="1"/>
  <c r="T198" i="1"/>
  <c r="S198" i="1"/>
  <c r="R198" i="1"/>
  <c r="Q198" i="1"/>
  <c r="P198" i="1"/>
  <c r="O198" i="1"/>
  <c r="N198" i="1"/>
  <c r="U197" i="1"/>
  <c r="T197" i="1"/>
  <c r="S197" i="1"/>
  <c r="R197" i="1"/>
  <c r="Q197" i="1"/>
  <c r="P197" i="1"/>
  <c r="O197" i="1"/>
  <c r="N197" i="1"/>
  <c r="U196" i="1"/>
  <c r="T196" i="1"/>
  <c r="S196" i="1"/>
  <c r="R196" i="1"/>
  <c r="Q196" i="1"/>
  <c r="P196" i="1"/>
  <c r="O196" i="1"/>
  <c r="N196" i="1"/>
  <c r="U195" i="1"/>
  <c r="T195" i="1"/>
  <c r="S195" i="1"/>
  <c r="R195" i="1"/>
  <c r="Q195" i="1"/>
  <c r="P195" i="1"/>
  <c r="O195" i="1"/>
  <c r="N195" i="1"/>
  <c r="U194" i="1"/>
  <c r="T194" i="1"/>
  <c r="S194" i="1"/>
  <c r="R194" i="1"/>
  <c r="Q194" i="1"/>
  <c r="P194" i="1"/>
  <c r="O194" i="1"/>
  <c r="N194" i="1"/>
  <c r="U193" i="1"/>
  <c r="T193" i="1"/>
  <c r="S193" i="1"/>
  <c r="R193" i="1"/>
  <c r="Q193" i="1"/>
  <c r="P193" i="1"/>
  <c r="O193" i="1"/>
  <c r="N193" i="1"/>
  <c r="U192" i="1"/>
  <c r="T192" i="1"/>
  <c r="S192" i="1"/>
  <c r="R192" i="1"/>
  <c r="Q192" i="1"/>
  <c r="P192" i="1"/>
  <c r="O192" i="1"/>
  <c r="N192" i="1"/>
  <c r="U191" i="1"/>
  <c r="T191" i="1"/>
  <c r="S191" i="1"/>
  <c r="R191" i="1"/>
  <c r="Q191" i="1"/>
  <c r="P191" i="1"/>
  <c r="O191" i="1"/>
  <c r="N191" i="1"/>
  <c r="U190" i="1"/>
  <c r="T190" i="1"/>
  <c r="S190" i="1"/>
  <c r="R190" i="1"/>
  <c r="Q190" i="1"/>
  <c r="P190" i="1"/>
  <c r="O190" i="1"/>
  <c r="N190" i="1"/>
  <c r="U189" i="1"/>
  <c r="T189" i="1"/>
  <c r="S189" i="1"/>
  <c r="R189" i="1"/>
  <c r="Q189" i="1"/>
  <c r="P189" i="1"/>
  <c r="O189" i="1"/>
  <c r="N189" i="1"/>
  <c r="U188" i="1"/>
  <c r="T188" i="1"/>
  <c r="S188" i="1"/>
  <c r="R188" i="1"/>
  <c r="Q188" i="1"/>
  <c r="P188" i="1"/>
  <c r="O188" i="1"/>
  <c r="N188" i="1"/>
  <c r="U187" i="1"/>
  <c r="T187" i="1"/>
  <c r="S187" i="1"/>
  <c r="R187" i="1"/>
  <c r="Q187" i="1"/>
  <c r="P187" i="1"/>
  <c r="O187" i="1"/>
  <c r="N187" i="1"/>
  <c r="U186" i="1"/>
  <c r="T186" i="1"/>
  <c r="S186" i="1"/>
  <c r="R186" i="1"/>
  <c r="Q186" i="1"/>
  <c r="P186" i="1"/>
  <c r="O186" i="1"/>
  <c r="N186" i="1"/>
  <c r="U185" i="1"/>
  <c r="T185" i="1"/>
  <c r="S185" i="1"/>
  <c r="R185" i="1"/>
  <c r="Q185" i="1"/>
  <c r="P185" i="1"/>
  <c r="O185" i="1"/>
  <c r="N185" i="1"/>
  <c r="U184" i="1"/>
  <c r="T184" i="1"/>
  <c r="S184" i="1"/>
  <c r="R184" i="1"/>
  <c r="Q184" i="1"/>
  <c r="P184" i="1"/>
  <c r="O184" i="1"/>
  <c r="N184" i="1"/>
  <c r="U183" i="1"/>
  <c r="T183" i="1"/>
  <c r="S183" i="1"/>
  <c r="R183" i="1"/>
  <c r="Q183" i="1"/>
  <c r="P183" i="1"/>
  <c r="O183" i="1"/>
  <c r="N183" i="1"/>
  <c r="U182" i="1"/>
  <c r="T182" i="1"/>
  <c r="S182" i="1"/>
  <c r="R182" i="1"/>
  <c r="Q182" i="1"/>
  <c r="P182" i="1"/>
  <c r="O182" i="1"/>
  <c r="N182" i="1"/>
  <c r="U181" i="1"/>
  <c r="T181" i="1"/>
  <c r="S181" i="1"/>
  <c r="R181" i="1"/>
  <c r="Q181" i="1"/>
  <c r="P181" i="1"/>
  <c r="O181" i="1"/>
  <c r="N181" i="1"/>
  <c r="U180" i="1"/>
  <c r="T180" i="1"/>
  <c r="S180" i="1"/>
  <c r="R180" i="1"/>
  <c r="Q180" i="1"/>
  <c r="P180" i="1"/>
  <c r="O180" i="1"/>
  <c r="N180" i="1"/>
  <c r="U179" i="1"/>
  <c r="T179" i="1"/>
  <c r="S179" i="1"/>
  <c r="R179" i="1"/>
  <c r="Q179" i="1"/>
  <c r="P179" i="1"/>
  <c r="O179" i="1"/>
  <c r="N179" i="1"/>
  <c r="U178" i="1"/>
  <c r="T178" i="1"/>
  <c r="S178" i="1"/>
  <c r="R178" i="1"/>
  <c r="Q178" i="1"/>
  <c r="P178" i="1"/>
  <c r="O178" i="1"/>
  <c r="N178" i="1"/>
  <c r="U177" i="1"/>
  <c r="T177" i="1"/>
  <c r="S177" i="1"/>
  <c r="R177" i="1"/>
  <c r="Q177" i="1"/>
  <c r="P177" i="1"/>
  <c r="O177" i="1"/>
  <c r="N177" i="1"/>
  <c r="U176" i="1"/>
  <c r="T176" i="1"/>
  <c r="S176" i="1"/>
  <c r="R176" i="1"/>
  <c r="Q176" i="1"/>
  <c r="P176" i="1"/>
  <c r="O176" i="1"/>
  <c r="N176" i="1"/>
  <c r="U175" i="1"/>
  <c r="T175" i="1"/>
  <c r="S175" i="1"/>
  <c r="R175" i="1"/>
  <c r="Q175" i="1"/>
  <c r="P175" i="1"/>
  <c r="O175" i="1"/>
  <c r="N175" i="1"/>
  <c r="U174" i="1"/>
  <c r="T174" i="1"/>
  <c r="S174" i="1"/>
  <c r="R174" i="1"/>
  <c r="Q174" i="1"/>
  <c r="P174" i="1"/>
  <c r="O174" i="1"/>
  <c r="N174" i="1"/>
  <c r="U173" i="1"/>
  <c r="T173" i="1"/>
  <c r="S173" i="1"/>
  <c r="R173" i="1"/>
  <c r="Q173" i="1"/>
  <c r="P173" i="1"/>
  <c r="O173" i="1"/>
  <c r="N173" i="1"/>
  <c r="U172" i="1"/>
  <c r="T172" i="1"/>
  <c r="S172" i="1"/>
  <c r="R172" i="1"/>
  <c r="Q172" i="1"/>
  <c r="P172" i="1"/>
  <c r="O172" i="1"/>
  <c r="N172" i="1"/>
  <c r="U171" i="1"/>
  <c r="T171" i="1"/>
  <c r="S171" i="1"/>
  <c r="R171" i="1"/>
  <c r="Q171" i="1"/>
  <c r="P171" i="1"/>
  <c r="O171" i="1"/>
  <c r="N171" i="1"/>
  <c r="U170" i="1"/>
  <c r="T170" i="1"/>
  <c r="S170" i="1"/>
  <c r="R170" i="1"/>
  <c r="Q170" i="1"/>
  <c r="P170" i="1"/>
  <c r="O170" i="1"/>
  <c r="N170" i="1"/>
  <c r="U169" i="1"/>
  <c r="T169" i="1"/>
  <c r="S169" i="1"/>
  <c r="R169" i="1"/>
  <c r="Q169" i="1"/>
  <c r="P169" i="1"/>
  <c r="O169" i="1"/>
  <c r="N169" i="1"/>
  <c r="U168" i="1"/>
  <c r="T168" i="1"/>
  <c r="S168" i="1"/>
  <c r="R168" i="1"/>
  <c r="Q168" i="1"/>
  <c r="P168" i="1"/>
  <c r="O168" i="1"/>
  <c r="N168" i="1"/>
  <c r="U167" i="1"/>
  <c r="T167" i="1"/>
  <c r="S167" i="1"/>
  <c r="R167" i="1"/>
  <c r="Q167" i="1"/>
  <c r="P167" i="1"/>
  <c r="O167" i="1"/>
  <c r="N167" i="1"/>
  <c r="U166" i="1"/>
  <c r="T166" i="1"/>
  <c r="S166" i="1"/>
  <c r="R166" i="1"/>
  <c r="Q166" i="1"/>
  <c r="P166" i="1"/>
  <c r="O166" i="1"/>
  <c r="N166" i="1"/>
  <c r="U165" i="1"/>
  <c r="T165" i="1"/>
  <c r="S165" i="1"/>
  <c r="R165" i="1"/>
  <c r="Q165" i="1"/>
  <c r="P165" i="1"/>
  <c r="O165" i="1"/>
  <c r="N165" i="1"/>
  <c r="U164" i="1"/>
  <c r="T164" i="1"/>
  <c r="S164" i="1"/>
  <c r="R164" i="1"/>
  <c r="Q164" i="1"/>
  <c r="P164" i="1"/>
  <c r="O164" i="1"/>
  <c r="N164" i="1"/>
  <c r="U163" i="1"/>
  <c r="T163" i="1"/>
  <c r="S163" i="1"/>
  <c r="R163" i="1"/>
  <c r="Q163" i="1"/>
  <c r="P163" i="1"/>
  <c r="O163" i="1"/>
  <c r="N163" i="1"/>
  <c r="U162" i="1"/>
  <c r="T162" i="1"/>
  <c r="S162" i="1"/>
  <c r="R162" i="1"/>
  <c r="Q162" i="1"/>
  <c r="P162" i="1"/>
  <c r="O162" i="1"/>
  <c r="N162" i="1"/>
  <c r="U161" i="1"/>
  <c r="T161" i="1"/>
  <c r="S161" i="1"/>
  <c r="R161" i="1"/>
  <c r="Q161" i="1"/>
  <c r="P161" i="1"/>
  <c r="O161" i="1"/>
  <c r="N161" i="1"/>
  <c r="U160" i="1"/>
  <c r="T160" i="1"/>
  <c r="S160" i="1"/>
  <c r="R160" i="1"/>
  <c r="Q160" i="1"/>
  <c r="P160" i="1"/>
  <c r="O160" i="1"/>
  <c r="N160" i="1"/>
  <c r="U159" i="1"/>
  <c r="T159" i="1"/>
  <c r="S159" i="1"/>
  <c r="R159" i="1"/>
  <c r="Q159" i="1"/>
  <c r="P159" i="1"/>
  <c r="O159" i="1"/>
  <c r="N159" i="1"/>
  <c r="U158" i="1"/>
  <c r="T158" i="1"/>
  <c r="S158" i="1"/>
  <c r="R158" i="1"/>
  <c r="Q158" i="1"/>
  <c r="P158" i="1"/>
  <c r="O158" i="1"/>
  <c r="N158" i="1"/>
  <c r="U157" i="1"/>
  <c r="T157" i="1"/>
  <c r="S157" i="1"/>
  <c r="R157" i="1"/>
  <c r="Q157" i="1"/>
  <c r="P157" i="1"/>
  <c r="O157" i="1"/>
  <c r="N157" i="1"/>
  <c r="U156" i="1"/>
  <c r="T156" i="1"/>
  <c r="S156" i="1"/>
  <c r="R156" i="1"/>
  <c r="Q156" i="1"/>
  <c r="P156" i="1"/>
  <c r="O156" i="1"/>
  <c r="N156" i="1"/>
  <c r="U155" i="1"/>
  <c r="T155" i="1"/>
  <c r="S155" i="1"/>
  <c r="R155" i="1"/>
  <c r="Q155" i="1"/>
  <c r="P155" i="1"/>
  <c r="O155" i="1"/>
  <c r="N155" i="1"/>
  <c r="U154" i="1"/>
  <c r="T154" i="1"/>
  <c r="S154" i="1"/>
  <c r="R154" i="1"/>
  <c r="Q154" i="1"/>
  <c r="P154" i="1"/>
  <c r="O154" i="1"/>
  <c r="N154" i="1"/>
  <c r="U153" i="1"/>
  <c r="T153" i="1"/>
  <c r="S153" i="1"/>
  <c r="R153" i="1"/>
  <c r="Q153" i="1"/>
  <c r="P153" i="1"/>
  <c r="O153" i="1"/>
  <c r="N153" i="1"/>
  <c r="U152" i="1"/>
  <c r="T152" i="1"/>
  <c r="S152" i="1"/>
  <c r="R152" i="1"/>
  <c r="Q152" i="1"/>
  <c r="P152" i="1"/>
  <c r="O152" i="1"/>
  <c r="N152" i="1"/>
  <c r="U151" i="1"/>
  <c r="T151" i="1"/>
  <c r="S151" i="1"/>
  <c r="R151" i="1"/>
  <c r="Q151" i="1"/>
  <c r="P151" i="1"/>
  <c r="O151" i="1"/>
  <c r="N151" i="1"/>
  <c r="U150" i="1"/>
  <c r="T150" i="1"/>
  <c r="S150" i="1"/>
  <c r="R150" i="1"/>
  <c r="Q150" i="1"/>
  <c r="P150" i="1"/>
  <c r="O150" i="1"/>
  <c r="N150" i="1"/>
  <c r="U149" i="1"/>
  <c r="T149" i="1"/>
  <c r="S149" i="1"/>
  <c r="R149" i="1"/>
  <c r="Q149" i="1"/>
  <c r="P149" i="1"/>
  <c r="O149" i="1"/>
  <c r="N149" i="1"/>
  <c r="U148" i="1"/>
  <c r="T148" i="1"/>
  <c r="S148" i="1"/>
  <c r="R148" i="1"/>
  <c r="Q148" i="1"/>
  <c r="P148" i="1"/>
  <c r="O148" i="1"/>
  <c r="N148" i="1"/>
  <c r="U147" i="1"/>
  <c r="T147" i="1"/>
  <c r="S147" i="1"/>
  <c r="R147" i="1"/>
  <c r="Q147" i="1"/>
  <c r="P147" i="1"/>
  <c r="O147" i="1"/>
  <c r="N147" i="1"/>
  <c r="U146" i="1"/>
  <c r="T146" i="1"/>
  <c r="S146" i="1"/>
  <c r="R146" i="1"/>
  <c r="Q146" i="1"/>
  <c r="P146" i="1"/>
  <c r="O146" i="1"/>
  <c r="N146" i="1"/>
  <c r="U145" i="1"/>
  <c r="T145" i="1"/>
  <c r="S145" i="1"/>
  <c r="R145" i="1"/>
  <c r="Q145" i="1"/>
  <c r="P145" i="1"/>
  <c r="O145" i="1"/>
  <c r="N145" i="1"/>
  <c r="U144" i="1"/>
  <c r="T144" i="1"/>
  <c r="S144" i="1"/>
  <c r="R144" i="1"/>
  <c r="Q144" i="1"/>
  <c r="P144" i="1"/>
  <c r="O144" i="1"/>
  <c r="N144" i="1"/>
  <c r="U143" i="1"/>
  <c r="T143" i="1"/>
  <c r="S143" i="1"/>
  <c r="R143" i="1"/>
  <c r="Q143" i="1"/>
  <c r="P143" i="1"/>
  <c r="O143" i="1"/>
  <c r="N143" i="1"/>
  <c r="U142" i="1"/>
  <c r="T142" i="1"/>
  <c r="S142" i="1"/>
  <c r="R142" i="1"/>
  <c r="Q142" i="1"/>
  <c r="P142" i="1"/>
  <c r="O142" i="1"/>
  <c r="N142" i="1"/>
  <c r="U141" i="1"/>
  <c r="T141" i="1"/>
  <c r="S141" i="1"/>
  <c r="R141" i="1"/>
  <c r="Q141" i="1"/>
  <c r="P141" i="1"/>
  <c r="O141" i="1"/>
  <c r="N141" i="1"/>
  <c r="U140" i="1"/>
  <c r="T140" i="1"/>
  <c r="S140" i="1"/>
  <c r="R140" i="1"/>
  <c r="Q140" i="1"/>
  <c r="P140" i="1"/>
  <c r="O140" i="1"/>
  <c r="N140" i="1"/>
  <c r="U139" i="1"/>
  <c r="T139" i="1"/>
  <c r="S139" i="1"/>
  <c r="R139" i="1"/>
  <c r="Q139" i="1"/>
  <c r="P139" i="1"/>
  <c r="O139" i="1"/>
  <c r="N139" i="1"/>
  <c r="U138" i="1"/>
  <c r="T138" i="1"/>
  <c r="S138" i="1"/>
  <c r="R138" i="1"/>
  <c r="Q138" i="1"/>
  <c r="P138" i="1"/>
  <c r="O138" i="1"/>
  <c r="N138" i="1"/>
  <c r="U137" i="1"/>
  <c r="T137" i="1"/>
  <c r="S137" i="1"/>
  <c r="R137" i="1"/>
  <c r="Q137" i="1"/>
  <c r="P137" i="1"/>
  <c r="O137" i="1"/>
  <c r="N137" i="1"/>
  <c r="U136" i="1"/>
  <c r="T136" i="1"/>
  <c r="S136" i="1"/>
  <c r="R136" i="1"/>
  <c r="Q136" i="1"/>
  <c r="P136" i="1"/>
  <c r="O136" i="1"/>
  <c r="N136" i="1"/>
  <c r="U135" i="1"/>
  <c r="T135" i="1"/>
  <c r="S135" i="1"/>
  <c r="R135" i="1"/>
  <c r="Q135" i="1"/>
  <c r="P135" i="1"/>
  <c r="O135" i="1"/>
  <c r="N135" i="1"/>
  <c r="U134" i="1"/>
  <c r="T134" i="1"/>
  <c r="S134" i="1"/>
  <c r="R134" i="1"/>
  <c r="Q134" i="1"/>
  <c r="P134" i="1"/>
  <c r="O134" i="1"/>
  <c r="N134" i="1"/>
  <c r="U133" i="1"/>
  <c r="T133" i="1"/>
  <c r="S133" i="1"/>
  <c r="R133" i="1"/>
  <c r="Q133" i="1"/>
  <c r="P133" i="1"/>
  <c r="O133" i="1"/>
  <c r="N133" i="1"/>
  <c r="U132" i="1"/>
  <c r="T132" i="1"/>
  <c r="S132" i="1"/>
  <c r="R132" i="1"/>
  <c r="Q132" i="1"/>
  <c r="P132" i="1"/>
  <c r="O132" i="1"/>
  <c r="N132" i="1"/>
  <c r="U131" i="1"/>
  <c r="T131" i="1"/>
  <c r="S131" i="1"/>
  <c r="R131" i="1"/>
  <c r="Q131" i="1"/>
  <c r="P131" i="1"/>
  <c r="O131" i="1"/>
  <c r="N131" i="1"/>
  <c r="U130" i="1"/>
  <c r="T130" i="1"/>
  <c r="S130" i="1"/>
  <c r="R130" i="1"/>
  <c r="Q130" i="1"/>
  <c r="P130" i="1"/>
  <c r="O130" i="1"/>
  <c r="N130" i="1"/>
  <c r="U129" i="1"/>
  <c r="T129" i="1"/>
  <c r="S129" i="1"/>
  <c r="R129" i="1"/>
  <c r="Q129" i="1"/>
  <c r="P129" i="1"/>
  <c r="O129" i="1"/>
  <c r="N129" i="1"/>
  <c r="U128" i="1"/>
  <c r="T128" i="1"/>
  <c r="S128" i="1"/>
  <c r="R128" i="1"/>
  <c r="Q128" i="1"/>
  <c r="P128" i="1"/>
  <c r="O128" i="1"/>
  <c r="N128" i="1"/>
  <c r="U127" i="1"/>
  <c r="T127" i="1"/>
  <c r="S127" i="1"/>
  <c r="R127" i="1"/>
  <c r="Q127" i="1"/>
  <c r="P127" i="1"/>
  <c r="O127" i="1"/>
  <c r="N127" i="1"/>
  <c r="U126" i="1"/>
  <c r="T126" i="1"/>
  <c r="S126" i="1"/>
  <c r="R126" i="1"/>
  <c r="Q126" i="1"/>
  <c r="P126" i="1"/>
  <c r="O126" i="1"/>
  <c r="N126" i="1"/>
  <c r="U125" i="1"/>
  <c r="T125" i="1"/>
  <c r="S125" i="1"/>
  <c r="R125" i="1"/>
  <c r="Q125" i="1"/>
  <c r="P125" i="1"/>
  <c r="O125" i="1"/>
  <c r="N125" i="1"/>
  <c r="U124" i="1"/>
  <c r="T124" i="1"/>
  <c r="S124" i="1"/>
  <c r="R124" i="1"/>
  <c r="Q124" i="1"/>
  <c r="P124" i="1"/>
  <c r="O124" i="1"/>
  <c r="N124" i="1"/>
  <c r="U123" i="1"/>
  <c r="T123" i="1"/>
  <c r="S123" i="1"/>
  <c r="R123" i="1"/>
  <c r="Q123" i="1"/>
  <c r="P123" i="1"/>
  <c r="O123" i="1"/>
  <c r="N123" i="1"/>
  <c r="U122" i="1"/>
  <c r="T122" i="1"/>
  <c r="S122" i="1"/>
  <c r="R122" i="1"/>
  <c r="Q122" i="1"/>
  <c r="P122" i="1"/>
  <c r="O122" i="1"/>
  <c r="N122" i="1"/>
  <c r="U121" i="1"/>
  <c r="T121" i="1"/>
  <c r="S121" i="1"/>
  <c r="R121" i="1"/>
  <c r="Q121" i="1"/>
  <c r="P121" i="1"/>
  <c r="O121" i="1"/>
  <c r="N121" i="1"/>
  <c r="U120" i="1"/>
  <c r="T120" i="1"/>
  <c r="S120" i="1"/>
  <c r="R120" i="1"/>
  <c r="Q120" i="1"/>
  <c r="P120" i="1"/>
  <c r="O120" i="1"/>
  <c r="N120" i="1"/>
  <c r="U119" i="1"/>
  <c r="T119" i="1"/>
  <c r="S119" i="1"/>
  <c r="R119" i="1"/>
  <c r="Q119" i="1"/>
  <c r="P119" i="1"/>
  <c r="O119" i="1"/>
  <c r="N119" i="1"/>
  <c r="U118" i="1"/>
  <c r="T118" i="1"/>
  <c r="S118" i="1"/>
  <c r="R118" i="1"/>
  <c r="Q118" i="1"/>
  <c r="P118" i="1"/>
  <c r="O118" i="1"/>
  <c r="N118" i="1"/>
  <c r="U117" i="1"/>
  <c r="T117" i="1"/>
  <c r="S117" i="1"/>
  <c r="R117" i="1"/>
  <c r="Q117" i="1"/>
  <c r="P117" i="1"/>
  <c r="O117" i="1"/>
  <c r="N117" i="1"/>
  <c r="U116" i="1"/>
  <c r="T116" i="1"/>
  <c r="S116" i="1"/>
  <c r="R116" i="1"/>
  <c r="Q116" i="1"/>
  <c r="P116" i="1"/>
  <c r="O116" i="1"/>
  <c r="N116" i="1"/>
  <c r="U115" i="1"/>
  <c r="T115" i="1"/>
  <c r="S115" i="1"/>
  <c r="R115" i="1"/>
  <c r="Q115" i="1"/>
  <c r="P115" i="1"/>
  <c r="O115" i="1"/>
  <c r="N115" i="1"/>
  <c r="U114" i="1"/>
  <c r="T114" i="1"/>
  <c r="S114" i="1"/>
  <c r="R114" i="1"/>
  <c r="Q114" i="1"/>
  <c r="P114" i="1"/>
  <c r="O114" i="1"/>
  <c r="N114" i="1"/>
  <c r="U113" i="1"/>
  <c r="T113" i="1"/>
  <c r="S113" i="1"/>
  <c r="R113" i="1"/>
  <c r="Q113" i="1"/>
  <c r="P113" i="1"/>
  <c r="O113" i="1"/>
  <c r="N113" i="1"/>
  <c r="U112" i="1"/>
  <c r="T112" i="1"/>
  <c r="S112" i="1"/>
  <c r="R112" i="1"/>
  <c r="Q112" i="1"/>
  <c r="P112" i="1"/>
  <c r="O112" i="1"/>
  <c r="N112" i="1"/>
  <c r="U111" i="1"/>
  <c r="T111" i="1"/>
  <c r="S111" i="1"/>
  <c r="R111" i="1"/>
  <c r="Q111" i="1"/>
  <c r="P111" i="1"/>
  <c r="O111" i="1"/>
  <c r="N111" i="1"/>
  <c r="U110" i="1"/>
  <c r="T110" i="1"/>
  <c r="S110" i="1"/>
  <c r="R110" i="1"/>
  <c r="Q110" i="1"/>
  <c r="P110" i="1"/>
  <c r="O110" i="1"/>
  <c r="N110" i="1"/>
  <c r="U109" i="1"/>
  <c r="T109" i="1"/>
  <c r="S109" i="1"/>
  <c r="R109" i="1"/>
  <c r="Q109" i="1"/>
  <c r="P109" i="1"/>
  <c r="O109" i="1"/>
  <c r="N109" i="1"/>
  <c r="U108" i="1"/>
  <c r="T108" i="1"/>
  <c r="S108" i="1"/>
  <c r="R108" i="1"/>
  <c r="Q108" i="1"/>
  <c r="P108" i="1"/>
  <c r="O108" i="1"/>
  <c r="N108" i="1"/>
  <c r="U107" i="1"/>
  <c r="T107" i="1"/>
  <c r="S107" i="1"/>
  <c r="R107" i="1"/>
  <c r="Q107" i="1"/>
  <c r="P107" i="1"/>
  <c r="O107" i="1"/>
  <c r="N107" i="1"/>
  <c r="U106" i="1"/>
  <c r="T106" i="1"/>
  <c r="S106" i="1"/>
  <c r="R106" i="1"/>
  <c r="Q106" i="1"/>
  <c r="P106" i="1"/>
  <c r="O106" i="1"/>
  <c r="N106" i="1"/>
  <c r="U105" i="1"/>
  <c r="T105" i="1"/>
  <c r="S105" i="1"/>
  <c r="R105" i="1"/>
  <c r="Q105" i="1"/>
  <c r="P105" i="1"/>
  <c r="O105" i="1"/>
  <c r="N105" i="1"/>
  <c r="U104" i="1"/>
  <c r="T104" i="1"/>
  <c r="S104" i="1"/>
  <c r="R104" i="1"/>
  <c r="Q104" i="1"/>
  <c r="P104" i="1"/>
  <c r="O104" i="1"/>
  <c r="N104" i="1"/>
  <c r="U103" i="1"/>
  <c r="T103" i="1"/>
  <c r="S103" i="1"/>
  <c r="R103" i="1"/>
  <c r="Q103" i="1"/>
  <c r="P103" i="1"/>
  <c r="O103" i="1"/>
  <c r="N103" i="1"/>
  <c r="U102" i="1"/>
  <c r="T102" i="1"/>
  <c r="S102" i="1"/>
  <c r="R102" i="1"/>
  <c r="Q102" i="1"/>
  <c r="P102" i="1"/>
  <c r="O102" i="1"/>
  <c r="N102" i="1"/>
  <c r="U101" i="1"/>
  <c r="T101" i="1"/>
  <c r="S101" i="1"/>
  <c r="R101" i="1"/>
  <c r="Q101" i="1"/>
  <c r="P101" i="1"/>
  <c r="O101" i="1"/>
  <c r="N101" i="1"/>
  <c r="U100" i="1"/>
  <c r="T100" i="1"/>
  <c r="S100" i="1"/>
  <c r="R100" i="1"/>
  <c r="Q100" i="1"/>
  <c r="P100" i="1"/>
  <c r="O100" i="1"/>
  <c r="N100" i="1"/>
  <c r="U99" i="1"/>
  <c r="T99" i="1"/>
  <c r="S99" i="1"/>
  <c r="R99" i="1"/>
  <c r="Q99" i="1"/>
  <c r="P99" i="1"/>
  <c r="O99" i="1"/>
  <c r="N99" i="1"/>
  <c r="U98" i="1"/>
  <c r="T98" i="1"/>
  <c r="S98" i="1"/>
  <c r="R98" i="1"/>
  <c r="Q98" i="1"/>
  <c r="P98" i="1"/>
  <c r="O98" i="1"/>
  <c r="N98" i="1"/>
  <c r="U97" i="1"/>
  <c r="T97" i="1"/>
  <c r="S97" i="1"/>
  <c r="R97" i="1"/>
  <c r="Q97" i="1"/>
  <c r="P97" i="1"/>
  <c r="O97" i="1"/>
  <c r="N97" i="1"/>
  <c r="U96" i="1"/>
  <c r="T96" i="1"/>
  <c r="S96" i="1"/>
  <c r="R96" i="1"/>
  <c r="Q96" i="1"/>
  <c r="P96" i="1"/>
  <c r="O96" i="1"/>
  <c r="N96" i="1"/>
  <c r="U95" i="1"/>
  <c r="T95" i="1"/>
  <c r="S95" i="1"/>
  <c r="R95" i="1"/>
  <c r="Q95" i="1"/>
  <c r="P95" i="1"/>
  <c r="O95" i="1"/>
  <c r="N95" i="1"/>
  <c r="U94" i="1"/>
  <c r="T94" i="1"/>
  <c r="S94" i="1"/>
  <c r="R94" i="1"/>
  <c r="Q94" i="1"/>
  <c r="P94" i="1"/>
  <c r="O94" i="1"/>
  <c r="N94" i="1"/>
  <c r="U93" i="1"/>
  <c r="T93" i="1"/>
  <c r="S93" i="1"/>
  <c r="R93" i="1"/>
  <c r="Q93" i="1"/>
  <c r="P93" i="1"/>
  <c r="O93" i="1"/>
  <c r="N93" i="1"/>
  <c r="U92" i="1"/>
  <c r="T92" i="1"/>
  <c r="S92" i="1"/>
  <c r="R92" i="1"/>
  <c r="Q92" i="1"/>
  <c r="P92" i="1"/>
  <c r="O92" i="1"/>
  <c r="N92" i="1"/>
  <c r="U91" i="1"/>
  <c r="T91" i="1"/>
  <c r="S91" i="1"/>
  <c r="R91" i="1"/>
  <c r="Q91" i="1"/>
  <c r="P91" i="1"/>
  <c r="O91" i="1"/>
  <c r="N91" i="1"/>
  <c r="U90" i="1"/>
  <c r="T90" i="1"/>
  <c r="S90" i="1"/>
  <c r="R90" i="1"/>
  <c r="Q90" i="1"/>
  <c r="P90" i="1"/>
  <c r="O90" i="1"/>
  <c r="N90" i="1"/>
  <c r="U89" i="1"/>
  <c r="T89" i="1"/>
  <c r="S89" i="1"/>
  <c r="R89" i="1"/>
  <c r="Q89" i="1"/>
  <c r="P89" i="1"/>
  <c r="O89" i="1"/>
  <c r="N89" i="1"/>
  <c r="U88" i="1"/>
  <c r="T88" i="1"/>
  <c r="S88" i="1"/>
  <c r="R88" i="1"/>
  <c r="Q88" i="1"/>
  <c r="P88" i="1"/>
  <c r="O88" i="1"/>
  <c r="N88" i="1"/>
  <c r="U87" i="1"/>
  <c r="T87" i="1"/>
  <c r="S87" i="1"/>
  <c r="R87" i="1"/>
  <c r="Q87" i="1"/>
  <c r="P87" i="1"/>
  <c r="O87" i="1"/>
  <c r="N87" i="1"/>
  <c r="U86" i="1"/>
  <c r="T86" i="1"/>
  <c r="S86" i="1"/>
  <c r="R86" i="1"/>
  <c r="Q86" i="1"/>
  <c r="P86" i="1"/>
  <c r="O86" i="1"/>
  <c r="N86" i="1"/>
  <c r="U85" i="1"/>
  <c r="T85" i="1"/>
  <c r="S85" i="1"/>
  <c r="R85" i="1"/>
  <c r="Q85" i="1"/>
  <c r="P85" i="1"/>
  <c r="O85" i="1"/>
  <c r="N85" i="1"/>
  <c r="U84" i="1"/>
  <c r="T84" i="1"/>
  <c r="S84" i="1"/>
  <c r="R84" i="1"/>
  <c r="Q84" i="1"/>
  <c r="P84" i="1"/>
  <c r="O84" i="1"/>
  <c r="N84" i="1"/>
  <c r="U83" i="1"/>
  <c r="T83" i="1"/>
  <c r="S83" i="1"/>
  <c r="R83" i="1"/>
  <c r="Q83" i="1"/>
  <c r="P83" i="1"/>
  <c r="O83" i="1"/>
  <c r="N83" i="1"/>
  <c r="U82" i="1"/>
  <c r="T82" i="1"/>
  <c r="S82" i="1"/>
  <c r="R82" i="1"/>
  <c r="Q82" i="1"/>
  <c r="P82" i="1"/>
  <c r="O82" i="1"/>
  <c r="N82" i="1"/>
  <c r="U81" i="1"/>
  <c r="T81" i="1"/>
  <c r="S81" i="1"/>
  <c r="R81" i="1"/>
  <c r="Q81" i="1"/>
  <c r="P81" i="1"/>
  <c r="O81" i="1"/>
  <c r="N81" i="1"/>
  <c r="U80" i="1"/>
  <c r="T80" i="1"/>
  <c r="S80" i="1"/>
  <c r="R80" i="1"/>
  <c r="Q80" i="1"/>
  <c r="P80" i="1"/>
  <c r="O80" i="1"/>
  <c r="N80" i="1"/>
  <c r="U79" i="1"/>
  <c r="T79" i="1"/>
  <c r="S79" i="1"/>
  <c r="R79" i="1"/>
  <c r="Q79" i="1"/>
  <c r="P79" i="1"/>
  <c r="O79" i="1"/>
  <c r="N79" i="1"/>
  <c r="U78" i="1"/>
  <c r="T78" i="1"/>
  <c r="S78" i="1"/>
  <c r="R78" i="1"/>
  <c r="Q78" i="1"/>
  <c r="P78" i="1"/>
  <c r="O78" i="1"/>
  <c r="N78" i="1"/>
  <c r="U77" i="1"/>
  <c r="T77" i="1"/>
  <c r="S77" i="1"/>
  <c r="R77" i="1"/>
  <c r="Q77" i="1"/>
  <c r="P77" i="1"/>
  <c r="O77" i="1"/>
  <c r="N77" i="1"/>
  <c r="U76" i="1"/>
  <c r="T76" i="1"/>
  <c r="S76" i="1"/>
  <c r="R76" i="1"/>
  <c r="Q76" i="1"/>
  <c r="P76" i="1"/>
  <c r="O76" i="1"/>
  <c r="N76" i="1"/>
  <c r="U75" i="1"/>
  <c r="T75" i="1"/>
  <c r="S75" i="1"/>
  <c r="R75" i="1"/>
  <c r="Q75" i="1"/>
  <c r="P75" i="1"/>
  <c r="O75" i="1"/>
  <c r="N75" i="1"/>
  <c r="U74" i="1"/>
  <c r="T74" i="1"/>
  <c r="S74" i="1"/>
  <c r="R74" i="1"/>
  <c r="Q74" i="1"/>
  <c r="P74" i="1"/>
  <c r="O74" i="1"/>
  <c r="N74" i="1"/>
  <c r="U73" i="1"/>
  <c r="T73" i="1"/>
  <c r="S73" i="1"/>
  <c r="R73" i="1"/>
  <c r="Q73" i="1"/>
  <c r="P73" i="1"/>
  <c r="O73" i="1"/>
  <c r="N73" i="1"/>
  <c r="U72" i="1"/>
  <c r="T72" i="1"/>
  <c r="S72" i="1"/>
  <c r="R72" i="1"/>
  <c r="Q72" i="1"/>
  <c r="P72" i="1"/>
  <c r="O72" i="1"/>
  <c r="N72" i="1"/>
  <c r="U71" i="1"/>
  <c r="T71" i="1"/>
  <c r="S71" i="1"/>
  <c r="R71" i="1"/>
  <c r="Q71" i="1"/>
  <c r="P71" i="1"/>
  <c r="O71" i="1"/>
  <c r="N71" i="1"/>
  <c r="U70" i="1"/>
  <c r="T70" i="1"/>
  <c r="S70" i="1"/>
  <c r="R70" i="1"/>
  <c r="Q70" i="1"/>
  <c r="P70" i="1"/>
  <c r="O70" i="1"/>
  <c r="N70" i="1"/>
  <c r="U69" i="1"/>
  <c r="T69" i="1"/>
  <c r="S69" i="1"/>
  <c r="R69" i="1"/>
  <c r="Q69" i="1"/>
  <c r="P69" i="1"/>
  <c r="O69" i="1"/>
  <c r="N69" i="1"/>
  <c r="U68" i="1"/>
  <c r="T68" i="1"/>
  <c r="S68" i="1"/>
  <c r="R68" i="1"/>
  <c r="Q68" i="1"/>
  <c r="P68" i="1"/>
  <c r="O68" i="1"/>
  <c r="N68" i="1"/>
  <c r="U67" i="1"/>
  <c r="T67" i="1"/>
  <c r="S67" i="1"/>
  <c r="R67" i="1"/>
  <c r="Q67" i="1"/>
  <c r="P67" i="1"/>
  <c r="O67" i="1"/>
  <c r="N67" i="1"/>
  <c r="U66" i="1"/>
  <c r="T66" i="1"/>
  <c r="S66" i="1"/>
  <c r="R66" i="1"/>
  <c r="Q66" i="1"/>
  <c r="P66" i="1"/>
  <c r="O66" i="1"/>
  <c r="N66" i="1"/>
  <c r="U65" i="1"/>
  <c r="T65" i="1"/>
  <c r="S65" i="1"/>
  <c r="R65" i="1"/>
  <c r="Q65" i="1"/>
  <c r="P65" i="1"/>
  <c r="O65" i="1"/>
  <c r="N65" i="1"/>
  <c r="U64" i="1"/>
  <c r="T64" i="1"/>
  <c r="S64" i="1"/>
  <c r="R64" i="1"/>
  <c r="Q64" i="1"/>
  <c r="P64" i="1"/>
  <c r="O64" i="1"/>
  <c r="N64" i="1"/>
  <c r="U63" i="1"/>
  <c r="T63" i="1"/>
  <c r="S63" i="1"/>
  <c r="R63" i="1"/>
  <c r="Q63" i="1"/>
  <c r="P63" i="1"/>
  <c r="O63" i="1"/>
  <c r="N63" i="1"/>
  <c r="U62" i="1"/>
  <c r="T62" i="1"/>
  <c r="S62" i="1"/>
  <c r="R62" i="1"/>
  <c r="Q62" i="1"/>
  <c r="P62" i="1"/>
  <c r="O62" i="1"/>
  <c r="N62" i="1"/>
  <c r="U61" i="1"/>
  <c r="T61" i="1"/>
  <c r="S61" i="1"/>
  <c r="R61" i="1"/>
  <c r="Q61" i="1"/>
  <c r="P61" i="1"/>
  <c r="O61" i="1"/>
  <c r="N61" i="1"/>
  <c r="U60" i="1"/>
  <c r="T60" i="1"/>
  <c r="S60" i="1"/>
  <c r="R60" i="1"/>
  <c r="Q60" i="1"/>
  <c r="P60" i="1"/>
  <c r="O60" i="1"/>
  <c r="N60" i="1"/>
  <c r="U59" i="1"/>
  <c r="T59" i="1"/>
  <c r="S59" i="1"/>
  <c r="R59" i="1"/>
  <c r="Q59" i="1"/>
  <c r="P59" i="1"/>
  <c r="O59" i="1"/>
  <c r="N59" i="1"/>
  <c r="U58" i="1"/>
  <c r="T58" i="1"/>
  <c r="S58" i="1"/>
  <c r="R58" i="1"/>
  <c r="Q58" i="1"/>
  <c r="P58" i="1"/>
  <c r="O58" i="1"/>
  <c r="N58" i="1"/>
  <c r="U57" i="1"/>
  <c r="T57" i="1"/>
  <c r="S57" i="1"/>
  <c r="R57" i="1"/>
  <c r="Q57" i="1"/>
  <c r="P57" i="1"/>
  <c r="O57" i="1"/>
  <c r="N57" i="1"/>
  <c r="U56" i="1"/>
  <c r="T56" i="1"/>
  <c r="S56" i="1"/>
  <c r="R56" i="1"/>
  <c r="Q56" i="1"/>
  <c r="P56" i="1"/>
  <c r="O56" i="1"/>
  <c r="N56" i="1"/>
  <c r="U55" i="1"/>
  <c r="T55" i="1"/>
  <c r="S55" i="1"/>
  <c r="R55" i="1"/>
  <c r="Q55" i="1"/>
  <c r="P55" i="1"/>
  <c r="O55" i="1"/>
  <c r="N55" i="1"/>
  <c r="U54" i="1"/>
  <c r="T54" i="1"/>
  <c r="S54" i="1"/>
  <c r="R54" i="1"/>
  <c r="Q54" i="1"/>
  <c r="P54" i="1"/>
  <c r="O54" i="1"/>
  <c r="N54" i="1"/>
  <c r="U53" i="1"/>
  <c r="T53" i="1"/>
  <c r="S53" i="1"/>
  <c r="R53" i="1"/>
  <c r="Q53" i="1"/>
  <c r="P53" i="1"/>
  <c r="O53" i="1"/>
  <c r="N53" i="1"/>
  <c r="U52" i="1"/>
  <c r="T52" i="1"/>
  <c r="S52" i="1"/>
  <c r="R52" i="1"/>
  <c r="Q52" i="1"/>
  <c r="P52" i="1"/>
  <c r="O52" i="1"/>
  <c r="N52" i="1"/>
  <c r="U51" i="1"/>
  <c r="T51" i="1"/>
  <c r="S51" i="1"/>
  <c r="R51" i="1"/>
  <c r="Q51" i="1"/>
  <c r="P51" i="1"/>
  <c r="O51" i="1"/>
  <c r="N51" i="1"/>
  <c r="U50" i="1"/>
  <c r="T50" i="1"/>
  <c r="S50" i="1"/>
  <c r="R50" i="1"/>
  <c r="Q50" i="1"/>
  <c r="P50" i="1"/>
  <c r="O50" i="1"/>
  <c r="N50" i="1"/>
  <c r="U49" i="1"/>
  <c r="T49" i="1"/>
  <c r="S49" i="1"/>
  <c r="R49" i="1"/>
  <c r="Q49" i="1"/>
  <c r="P49" i="1"/>
  <c r="O49" i="1"/>
  <c r="N49" i="1"/>
  <c r="U48" i="1"/>
  <c r="T48" i="1"/>
  <c r="S48" i="1"/>
  <c r="R48" i="1"/>
  <c r="Q48" i="1"/>
  <c r="P48" i="1"/>
  <c r="O48" i="1"/>
  <c r="N48" i="1"/>
  <c r="U47" i="1"/>
  <c r="T47" i="1"/>
  <c r="S47" i="1"/>
  <c r="R47" i="1"/>
  <c r="Q47" i="1"/>
  <c r="P47" i="1"/>
  <c r="O47" i="1"/>
  <c r="N47" i="1"/>
  <c r="U46" i="1"/>
  <c r="T46" i="1"/>
  <c r="S46" i="1"/>
  <c r="R46" i="1"/>
  <c r="Q46" i="1"/>
  <c r="P46" i="1"/>
  <c r="O46" i="1"/>
  <c r="N46" i="1"/>
  <c r="U45" i="1"/>
  <c r="T45" i="1"/>
  <c r="S45" i="1"/>
  <c r="R45" i="1"/>
  <c r="Q45" i="1"/>
  <c r="P45" i="1"/>
  <c r="O45" i="1"/>
  <c r="N45" i="1"/>
  <c r="U44" i="1"/>
  <c r="T44" i="1"/>
  <c r="S44" i="1"/>
  <c r="R44" i="1"/>
  <c r="Q44" i="1"/>
  <c r="P44" i="1"/>
  <c r="O44" i="1"/>
  <c r="N44" i="1"/>
  <c r="U43" i="1"/>
  <c r="T43" i="1"/>
  <c r="S43" i="1"/>
  <c r="R43" i="1"/>
  <c r="Q43" i="1"/>
  <c r="P43" i="1"/>
  <c r="O43" i="1"/>
  <c r="N43" i="1"/>
  <c r="U42" i="1"/>
  <c r="T42" i="1"/>
  <c r="S42" i="1"/>
  <c r="R42" i="1"/>
  <c r="Q42" i="1"/>
  <c r="P42" i="1"/>
  <c r="O42" i="1"/>
  <c r="N42" i="1"/>
  <c r="U41" i="1"/>
  <c r="T41" i="1"/>
  <c r="S41" i="1"/>
  <c r="R41" i="1"/>
  <c r="Q41" i="1"/>
  <c r="P41" i="1"/>
  <c r="O41" i="1"/>
  <c r="N41" i="1"/>
  <c r="U40" i="1"/>
  <c r="T40" i="1"/>
  <c r="S40" i="1"/>
  <c r="R40" i="1"/>
  <c r="Q40" i="1"/>
  <c r="P40" i="1"/>
  <c r="O40" i="1"/>
  <c r="N40" i="1"/>
  <c r="U39" i="1"/>
  <c r="T39" i="1"/>
  <c r="S39" i="1"/>
  <c r="R39" i="1"/>
  <c r="Q39" i="1"/>
  <c r="P39" i="1"/>
  <c r="O39" i="1"/>
  <c r="N39" i="1"/>
  <c r="U38" i="1"/>
  <c r="T38" i="1"/>
  <c r="S38" i="1"/>
  <c r="R38" i="1"/>
  <c r="Q38" i="1"/>
  <c r="P38" i="1"/>
  <c r="O38" i="1"/>
  <c r="N38" i="1"/>
  <c r="U37" i="1"/>
  <c r="T37" i="1"/>
  <c r="S37" i="1"/>
  <c r="R37" i="1"/>
  <c r="Q37" i="1"/>
  <c r="P37" i="1"/>
  <c r="O37" i="1"/>
  <c r="N37" i="1"/>
  <c r="U36" i="1"/>
  <c r="T36" i="1"/>
  <c r="S36" i="1"/>
  <c r="R36" i="1"/>
  <c r="Q36" i="1"/>
  <c r="P36" i="1"/>
  <c r="O36" i="1"/>
  <c r="N36" i="1"/>
  <c r="U35" i="1"/>
  <c r="T35" i="1"/>
  <c r="S35" i="1"/>
  <c r="R35" i="1"/>
  <c r="Q35" i="1"/>
  <c r="P35" i="1"/>
  <c r="O35" i="1"/>
  <c r="N35" i="1"/>
  <c r="U34" i="1"/>
  <c r="T34" i="1"/>
  <c r="S34" i="1"/>
  <c r="R34" i="1"/>
  <c r="Q34" i="1"/>
  <c r="P34" i="1"/>
  <c r="O34" i="1"/>
  <c r="N34" i="1"/>
  <c r="U33" i="1"/>
  <c r="T33" i="1"/>
  <c r="S33" i="1"/>
  <c r="R33" i="1"/>
  <c r="Q33" i="1"/>
  <c r="P33" i="1"/>
  <c r="O33" i="1"/>
  <c r="N33" i="1"/>
  <c r="U32" i="1"/>
  <c r="T32" i="1"/>
  <c r="S32" i="1"/>
  <c r="R32" i="1"/>
  <c r="Q32" i="1"/>
  <c r="P32" i="1"/>
  <c r="O32" i="1"/>
  <c r="N32" i="1"/>
  <c r="U31" i="1"/>
  <c r="T31" i="1"/>
  <c r="S31" i="1"/>
  <c r="R31" i="1"/>
  <c r="Q31" i="1"/>
  <c r="P31" i="1"/>
  <c r="O31" i="1"/>
  <c r="N31" i="1"/>
  <c r="U30" i="1"/>
  <c r="T30" i="1"/>
  <c r="S30" i="1"/>
  <c r="R30" i="1"/>
  <c r="Q30" i="1"/>
  <c r="P30" i="1"/>
  <c r="O30" i="1"/>
  <c r="N30" i="1"/>
  <c r="U29" i="1"/>
  <c r="T29" i="1"/>
  <c r="S29" i="1"/>
  <c r="R29" i="1"/>
  <c r="Q29" i="1"/>
  <c r="P29" i="1"/>
  <c r="O29" i="1"/>
  <c r="N29" i="1"/>
  <c r="U28" i="1"/>
  <c r="T28" i="1"/>
  <c r="S28" i="1"/>
  <c r="R28" i="1"/>
  <c r="Q28" i="1"/>
  <c r="P28" i="1"/>
  <c r="O28" i="1"/>
  <c r="N28" i="1"/>
  <c r="U27" i="1"/>
  <c r="T27" i="1"/>
  <c r="S27" i="1"/>
  <c r="R27" i="1"/>
  <c r="Q27" i="1"/>
  <c r="P27" i="1"/>
  <c r="O27" i="1"/>
  <c r="N27" i="1"/>
  <c r="U26" i="1"/>
  <c r="T26" i="1"/>
  <c r="S26" i="1"/>
  <c r="R26" i="1"/>
  <c r="Q26" i="1"/>
  <c r="P26" i="1"/>
  <c r="O26" i="1"/>
  <c r="N26" i="1"/>
  <c r="W25" i="1"/>
  <c r="U25" i="1"/>
  <c r="T25" i="1"/>
  <c r="S25" i="1"/>
  <c r="R25" i="1"/>
  <c r="Q25" i="1"/>
  <c r="P25" i="1"/>
  <c r="O25" i="1"/>
  <c r="N25" i="1"/>
  <c r="W24" i="1"/>
  <c r="U24" i="1"/>
  <c r="T24" i="1"/>
  <c r="S24" i="1"/>
  <c r="R24" i="1"/>
  <c r="Q24" i="1"/>
  <c r="P24" i="1"/>
  <c r="O24" i="1"/>
  <c r="N24" i="1"/>
  <c r="Z23" i="1"/>
  <c r="W23" i="1"/>
  <c r="U23" i="1"/>
  <c r="T23" i="1"/>
  <c r="S23" i="1"/>
  <c r="R23" i="1"/>
  <c r="Q23" i="1"/>
  <c r="P23" i="1"/>
  <c r="O23" i="1"/>
  <c r="N23" i="1"/>
  <c r="Z22" i="1"/>
  <c r="W22" i="1"/>
  <c r="U22" i="1"/>
  <c r="T22" i="1"/>
  <c r="S22" i="1"/>
  <c r="R22" i="1"/>
  <c r="Q22" i="1"/>
  <c r="P22" i="1"/>
  <c r="O22" i="1"/>
  <c r="N22" i="1"/>
  <c r="Z21" i="1"/>
  <c r="W21" i="1"/>
  <c r="U21" i="1"/>
  <c r="T21" i="1"/>
  <c r="S21" i="1"/>
  <c r="R21" i="1"/>
  <c r="Q21" i="1"/>
  <c r="P21" i="1"/>
  <c r="O21" i="1"/>
  <c r="N21" i="1"/>
  <c r="Z20" i="1"/>
  <c r="W20" i="1"/>
  <c r="U20" i="1"/>
  <c r="T20" i="1"/>
  <c r="S20" i="1"/>
  <c r="R20" i="1"/>
  <c r="Q20" i="1"/>
  <c r="P20" i="1"/>
  <c r="O20" i="1"/>
  <c r="N20" i="1"/>
  <c r="Z19" i="1"/>
  <c r="W19" i="1"/>
  <c r="W29" i="1" s="1"/>
  <c r="U19" i="1"/>
  <c r="T19" i="1"/>
  <c r="S19" i="1"/>
  <c r="R19" i="1"/>
  <c r="Q19" i="1"/>
  <c r="P19" i="1"/>
  <c r="O19" i="1"/>
  <c r="N19" i="1"/>
  <c r="Z18" i="1"/>
  <c r="W18" i="1"/>
  <c r="U18" i="1"/>
  <c r="T18" i="1"/>
  <c r="S18" i="1"/>
  <c r="R18" i="1"/>
  <c r="Q18" i="1"/>
  <c r="P18" i="1"/>
  <c r="O18" i="1"/>
  <c r="N18" i="1"/>
  <c r="U17" i="1"/>
  <c r="T17" i="1"/>
  <c r="S17" i="1"/>
  <c r="R17" i="1"/>
  <c r="Q17" i="1"/>
  <c r="P17" i="1"/>
  <c r="O17" i="1"/>
  <c r="N17" i="1"/>
  <c r="U16" i="1"/>
  <c r="T16" i="1"/>
  <c r="S16" i="1"/>
  <c r="R16" i="1"/>
  <c r="Q16" i="1"/>
  <c r="P16" i="1"/>
  <c r="O16" i="1"/>
  <c r="N16" i="1"/>
  <c r="U15" i="1"/>
  <c r="T15" i="1"/>
  <c r="S15" i="1"/>
  <c r="R15" i="1"/>
  <c r="Q15" i="1"/>
  <c r="P15" i="1"/>
  <c r="O15" i="1"/>
  <c r="N15" i="1"/>
  <c r="U14" i="1"/>
  <c r="T14" i="1"/>
  <c r="S14" i="1"/>
  <c r="R14" i="1"/>
  <c r="Q14" i="1"/>
  <c r="P14" i="1"/>
  <c r="O14" i="1"/>
  <c r="N14" i="1"/>
  <c r="U13" i="1"/>
  <c r="T13" i="1"/>
  <c r="S13" i="1"/>
  <c r="R13" i="1"/>
  <c r="Q13" i="1"/>
  <c r="P13" i="1"/>
  <c r="O13" i="1"/>
  <c r="N13" i="1"/>
  <c r="U12" i="1"/>
  <c r="T12" i="1"/>
  <c r="S12" i="1"/>
  <c r="R12" i="1"/>
  <c r="Q12" i="1"/>
  <c r="P12" i="1"/>
  <c r="O12" i="1"/>
  <c r="N12" i="1"/>
  <c r="U11" i="1"/>
  <c r="T11" i="1"/>
  <c r="S11" i="1"/>
  <c r="R11" i="1"/>
  <c r="Q11" i="1"/>
  <c r="P11" i="1"/>
  <c r="O11" i="1"/>
  <c r="N11" i="1"/>
  <c r="U10" i="1"/>
  <c r="T10" i="1"/>
  <c r="S10" i="1"/>
  <c r="R10" i="1"/>
  <c r="Q10" i="1"/>
  <c r="P10" i="1"/>
  <c r="O10" i="1"/>
  <c r="N10" i="1"/>
  <c r="V9" i="1"/>
  <c r="U9" i="1"/>
  <c r="T9" i="1"/>
  <c r="S9" i="1"/>
  <c r="R9" i="1"/>
  <c r="Q9" i="1"/>
  <c r="P9" i="1"/>
  <c r="O9" i="1"/>
  <c r="N9" i="1"/>
  <c r="V8" i="1"/>
  <c r="U8" i="1"/>
  <c r="T8" i="1"/>
  <c r="S8" i="1"/>
  <c r="R8" i="1"/>
  <c r="Q8" i="1"/>
  <c r="P8" i="1"/>
  <c r="O8" i="1"/>
  <c r="N8" i="1"/>
  <c r="U7" i="1"/>
  <c r="T7" i="1"/>
  <c r="S7" i="1"/>
  <c r="R7" i="1"/>
  <c r="Q7" i="1"/>
  <c r="P7" i="1"/>
  <c r="O7" i="1"/>
  <c r="N7" i="1"/>
  <c r="U6" i="1"/>
  <c r="T6" i="1"/>
  <c r="S6" i="1"/>
  <c r="R6" i="1"/>
  <c r="Q6" i="1"/>
  <c r="P6" i="1"/>
  <c r="O6" i="1"/>
  <c r="N6" i="1"/>
  <c r="U5" i="1"/>
  <c r="T5" i="1"/>
  <c r="S5" i="1"/>
  <c r="R5" i="1"/>
  <c r="Q5" i="1"/>
  <c r="P5" i="1"/>
  <c r="O5" i="1"/>
  <c r="N5" i="1"/>
  <c r="U4" i="1"/>
  <c r="X2" i="1" s="1"/>
  <c r="T4" i="1"/>
  <c r="S4" i="1"/>
  <c r="R4" i="1"/>
  <c r="Q4" i="1"/>
  <c r="P4" i="1"/>
  <c r="O4" i="1"/>
  <c r="N4" i="1"/>
  <c r="U3" i="1"/>
  <c r="X12" i="1" s="1"/>
  <c r="T3" i="1"/>
  <c r="S3" i="1"/>
  <c r="R3" i="1"/>
  <c r="Q3" i="1"/>
  <c r="P3" i="1"/>
  <c r="O3" i="1"/>
  <c r="N3" i="1"/>
  <c r="U2" i="1"/>
  <c r="X11" i="1" s="1"/>
  <c r="T2" i="1"/>
  <c r="S2" i="1"/>
  <c r="R2" i="1"/>
  <c r="Q2" i="1"/>
  <c r="P2" i="1"/>
  <c r="O2" i="1"/>
  <c r="N2" i="1"/>
  <c r="X3" i="1" l="1"/>
  <c r="X15" i="1" s="1"/>
  <c r="X7" i="1"/>
  <c r="X13" i="1"/>
  <c r="W30" i="1"/>
  <c r="X10" i="1"/>
  <c r="X5" i="1"/>
  <c r="X8" i="1"/>
  <c r="X9" i="1"/>
  <c r="X4" i="1"/>
  <c r="X6" i="1"/>
</calcChain>
</file>

<file path=xl/sharedStrings.xml><?xml version="1.0" encoding="utf-8"?>
<sst xmlns="http://schemas.openxmlformats.org/spreadsheetml/2006/main" count="1043" uniqueCount="453">
  <si>
    <t>S/N</t>
  </si>
  <si>
    <t>Farmer ID</t>
  </si>
  <si>
    <t>Farmer Name</t>
  </si>
  <si>
    <t>Region</t>
  </si>
  <si>
    <t>Crop Type</t>
  </si>
  <si>
    <t>Farm Size (Hectares)</t>
  </si>
  <si>
    <t>Registration Date</t>
  </si>
  <si>
    <t>Planting Date</t>
  </si>
  <si>
    <t>Expected Harvest Date</t>
  </si>
  <si>
    <t>Actual Harvest Date</t>
  </si>
  <si>
    <t>Quantity Harvested (kg)</t>
  </si>
  <si>
    <t>Repayment History</t>
  </si>
  <si>
    <t>Loan Amount Disbursed (₦)</t>
  </si>
  <si>
    <t>Farm Size Category</t>
  </si>
  <si>
    <t>Harvest Status</t>
  </si>
  <si>
    <t>Loan Eligibility</t>
  </si>
  <si>
    <t>Days to Harvest</t>
  </si>
  <si>
    <t>Region Code</t>
  </si>
  <si>
    <t>Crop Code</t>
  </si>
  <si>
    <t>Cleaned Farmer Name</t>
  </si>
  <si>
    <t>Harvest Month</t>
  </si>
  <si>
    <t>SS-RIC-0001</t>
  </si>
  <si>
    <t>Chinedu Afolabi</t>
  </si>
  <si>
    <t>South South</t>
  </si>
  <si>
    <t>Rice</t>
  </si>
  <si>
    <t>Good</t>
  </si>
  <si>
    <t>NE-GRN-0002</t>
  </si>
  <si>
    <t>Yetunde Obi</t>
  </si>
  <si>
    <t>North East</t>
  </si>
  <si>
    <t>Groundnut</t>
  </si>
  <si>
    <t>Poor</t>
  </si>
  <si>
    <t>NW-COC-0003</t>
  </si>
  <si>
    <t>Rasheed Musa</t>
  </si>
  <si>
    <t>North West</t>
  </si>
  <si>
    <t>Cocoa</t>
  </si>
  <si>
    <t>Fair</t>
  </si>
  <si>
    <t>SS-RIC-0004</t>
  </si>
  <si>
    <t>Ifeoma Okonkwo</t>
  </si>
  <si>
    <t>SS-RIC-0005</t>
  </si>
  <si>
    <t>Oluwaseun Adamu</t>
  </si>
  <si>
    <t>MAIZE LOAN</t>
  </si>
  <si>
    <t>NW-COC-0006</t>
  </si>
  <si>
    <t>Halima Afolabi</t>
  </si>
  <si>
    <t>PART B</t>
  </si>
  <si>
    <t>NE-YAM-0007</t>
  </si>
  <si>
    <t>Precious Salihu</t>
  </si>
  <si>
    <t>Yam</t>
  </si>
  <si>
    <t>NW-CAS-0008</t>
  </si>
  <si>
    <t>Babajide Adamu</t>
  </si>
  <si>
    <t>Cassava</t>
  </si>
  <si>
    <t>SE-SOR-0009</t>
  </si>
  <si>
    <t>Emmanuel Aliyu</t>
  </si>
  <si>
    <t>South East</t>
  </si>
  <si>
    <t>Sorghum</t>
  </si>
  <si>
    <t>SE-YAM-0010</t>
  </si>
  <si>
    <t>Uche Nnamdi</t>
  </si>
  <si>
    <t>NE-MAZ-0011</t>
  </si>
  <si>
    <t>Ayodele Usman</t>
  </si>
  <si>
    <t>Maize</t>
  </si>
  <si>
    <t>SW-YAM-0012</t>
  </si>
  <si>
    <t>Umar Akande</t>
  </si>
  <si>
    <t>South West</t>
  </si>
  <si>
    <t>NW-YAM-0013</t>
  </si>
  <si>
    <t xml:space="preserve">  Damilola Okonkwo</t>
  </si>
  <si>
    <t>SE-MIL-0014</t>
  </si>
  <si>
    <t>Ayodele Ndubuisi</t>
  </si>
  <si>
    <t>Millet</t>
  </si>
  <si>
    <t>June(6) has the highest harvest</t>
  </si>
  <si>
    <t>SW-COC-0015</t>
  </si>
  <si>
    <t>John Mohammed</t>
  </si>
  <si>
    <t>SE-MAZ-0016</t>
  </si>
  <si>
    <t>Obinna Ibe</t>
  </si>
  <si>
    <t>PART C</t>
  </si>
  <si>
    <t>SS-MIL-0017</t>
  </si>
  <si>
    <t>Uche Abubakar</t>
  </si>
  <si>
    <t>RICE</t>
  </si>
  <si>
    <t>North Central</t>
  </si>
  <si>
    <t>SE-RIC-0018</t>
  </si>
  <si>
    <t>Rasheed Sani</t>
  </si>
  <si>
    <t>GROUNDNUT</t>
  </si>
  <si>
    <t>SS-COC-0019</t>
  </si>
  <si>
    <t>Umar Ogundele</t>
  </si>
  <si>
    <t>COCOA</t>
  </si>
  <si>
    <t>NORTH west</t>
  </si>
  <si>
    <t>SE-YAM-0020</t>
  </si>
  <si>
    <t>Ekene Ogundele</t>
  </si>
  <si>
    <t>YAM</t>
  </si>
  <si>
    <t>South EAST</t>
  </si>
  <si>
    <t>NW-SOR-0021</t>
  </si>
  <si>
    <t>Umar Mohammed</t>
  </si>
  <si>
    <t>MAIZE</t>
  </si>
  <si>
    <t>SE-MIL-0022</t>
  </si>
  <si>
    <t>Folake Nwosu</t>
  </si>
  <si>
    <t>MILLET</t>
  </si>
  <si>
    <t>South south</t>
  </si>
  <si>
    <t>NW-RIC-0023</t>
  </si>
  <si>
    <t>Aminu Chukwu</t>
  </si>
  <si>
    <t>SORGHUM</t>
  </si>
  <si>
    <t>NE-YAM-0024</t>
  </si>
  <si>
    <t>Adesuwa Mohammed</t>
  </si>
  <si>
    <t>CASSAVA</t>
  </si>
  <si>
    <t>SS-COC-0025</t>
  </si>
  <si>
    <t>Peter Uzoma</t>
  </si>
  <si>
    <t>NC-YAM-0026</t>
  </si>
  <si>
    <t>Yetunde Balogun</t>
  </si>
  <si>
    <t>Total harvest; 2947880</t>
  </si>
  <si>
    <t>NC-CAS-0027</t>
  </si>
  <si>
    <t>Damilola  Ogundele</t>
  </si>
  <si>
    <t>Average; 368485</t>
  </si>
  <si>
    <t>SE-YAM-0028</t>
  </si>
  <si>
    <t>Ibrahim Igwe</t>
  </si>
  <si>
    <t>Highest- YAM</t>
  </si>
  <si>
    <t>SE-CAS-0029</t>
  </si>
  <si>
    <t>Funke Uzoma</t>
  </si>
  <si>
    <t>Lowest-Cocoa</t>
  </si>
  <si>
    <t>SE-COC-0030</t>
  </si>
  <si>
    <t>Suleiman Obi</t>
  </si>
  <si>
    <t>SS-SOR-0031</t>
  </si>
  <si>
    <t>Yetunde Abubakar</t>
  </si>
  <si>
    <t>NE-MAZ-0032</t>
  </si>
  <si>
    <t>Salamatu Mohammed</t>
  </si>
  <si>
    <t>SW-COC-0033</t>
  </si>
  <si>
    <t>Victory Obi</t>
  </si>
  <si>
    <t>SE-MIL-0034</t>
  </si>
  <si>
    <t>Babajide Ibe</t>
  </si>
  <si>
    <t>NW-GRN-0035</t>
  </si>
  <si>
    <t>Abdullahi Aliyu</t>
  </si>
  <si>
    <t>NC-SOR-0036</t>
  </si>
  <si>
    <t>Victory Anyanwu</t>
  </si>
  <si>
    <t>SS-GRN-0037</t>
  </si>
  <si>
    <t>Grace Adamu</t>
  </si>
  <si>
    <t>NE-MAZ-0038</t>
  </si>
  <si>
    <t>Folake Anyanwu</t>
  </si>
  <si>
    <t>SE-MAZ-0039</t>
  </si>
  <si>
    <t>Fatima Okonkwo</t>
  </si>
  <si>
    <t>NE-MIL-0040</t>
  </si>
  <si>
    <t>Efe Ogundele</t>
  </si>
  <si>
    <t>SW-GRN-0041</t>
  </si>
  <si>
    <t>Blessing Abubakar</t>
  </si>
  <si>
    <t>SE-GRN-0042</t>
  </si>
  <si>
    <t>Adesuwa Nnamdi</t>
  </si>
  <si>
    <t>SS-SOR-0043</t>
  </si>
  <si>
    <t>Feyisayo Akande</t>
  </si>
  <si>
    <t>SS-GRN-0044</t>
  </si>
  <si>
    <t>Musa Balogun</t>
  </si>
  <si>
    <t>NE-RIC-0045</t>
  </si>
  <si>
    <t>Ayodele Uzoma</t>
  </si>
  <si>
    <t>NC-MIL-0046</t>
  </si>
  <si>
    <t>Chukwudi Fashola</t>
  </si>
  <si>
    <t>SE-CAS-0047</t>
  </si>
  <si>
    <t>Funke Danladi</t>
  </si>
  <si>
    <t>SS-CAS-0048</t>
  </si>
  <si>
    <t>Kunle Adeyemi</t>
  </si>
  <si>
    <t>NE-MAZ-0049</t>
  </si>
  <si>
    <t>Folake Ndubuisi</t>
  </si>
  <si>
    <t>NE-RIC-0050</t>
  </si>
  <si>
    <t>Chukwudi Uzoma</t>
  </si>
  <si>
    <t>SE-RIC-0051</t>
  </si>
  <si>
    <t>Victory Danladi</t>
  </si>
  <si>
    <t>NC-SOR-0052</t>
  </si>
  <si>
    <t>Efe Ayuba</t>
  </si>
  <si>
    <t>NE-RIC-0053</t>
  </si>
  <si>
    <t>Emeka Adamu</t>
  </si>
  <si>
    <t>NW-MAZ-0054</t>
  </si>
  <si>
    <t>Aminu Igwe</t>
  </si>
  <si>
    <t>NW-CAS-0055</t>
  </si>
  <si>
    <t>Chukwuemeka Fashola</t>
  </si>
  <si>
    <t>NE-COC-0056</t>
  </si>
  <si>
    <t>Abdullahi Nwachukwu</t>
  </si>
  <si>
    <t>NW-MIL-0057</t>
  </si>
  <si>
    <t>Abdullahi Nwosu</t>
  </si>
  <si>
    <t>NW-YAM-0058</t>
  </si>
  <si>
    <t>Blessing Adamu</t>
  </si>
  <si>
    <t>NC-GRN-0059</t>
  </si>
  <si>
    <t>Esther Ndubuisi</t>
  </si>
  <si>
    <t>SE-SOR-0060</t>
  </si>
  <si>
    <t>Mary Okafor</t>
  </si>
  <si>
    <t>NC-YAM-0061</t>
  </si>
  <si>
    <t>Efe Ibe</t>
  </si>
  <si>
    <t>SW-MAZ-0062</t>
  </si>
  <si>
    <t>Amaka Adisa</t>
  </si>
  <si>
    <t>NW-MIL-0063</t>
  </si>
  <si>
    <t>Peter Ogundele</t>
  </si>
  <si>
    <t>NW-YAM-0064</t>
  </si>
  <si>
    <t>Babajide Ojo</t>
  </si>
  <si>
    <t>NC-MAZ-0065</t>
  </si>
  <si>
    <t>Adebayo Musa</t>
  </si>
  <si>
    <t>SE-CAS-0066</t>
  </si>
  <si>
    <t>Yetunde Ayuba</t>
  </si>
  <si>
    <t>SS-GRN-0067</t>
  </si>
  <si>
    <t>SS-GRN-0068</t>
  </si>
  <si>
    <t>Kunle Okafor</t>
  </si>
  <si>
    <t>NE-SOR-0069</t>
  </si>
  <si>
    <t>Osaretin Okoye</t>
  </si>
  <si>
    <t>NE-COC-0070</t>
  </si>
  <si>
    <t>Chidinma Adisa</t>
  </si>
  <si>
    <t>NE-GRN-0071</t>
  </si>
  <si>
    <t>Rasheed Salihu</t>
  </si>
  <si>
    <t>SS-YAM-0072</t>
  </si>
  <si>
    <t>Chukwuemeka Balogun</t>
  </si>
  <si>
    <t>NW-SOR-0073</t>
  </si>
  <si>
    <t>Nkechi Bello</t>
  </si>
  <si>
    <t>SW-RIC-0074</t>
  </si>
  <si>
    <t>Esther Nwachukwu</t>
  </si>
  <si>
    <t>SS-COC-0075</t>
  </si>
  <si>
    <t>Emeka Onyeka</t>
  </si>
  <si>
    <t>NC-YAM-0076</t>
  </si>
  <si>
    <t>Amaka Usman</t>
  </si>
  <si>
    <t>NE-CAS-0077</t>
  </si>
  <si>
    <t>Obioma Ogundele</t>
  </si>
  <si>
    <t>SW-RIC-0078</t>
  </si>
  <si>
    <t>Precious Eze</t>
  </si>
  <si>
    <t>SW-MAZ-0079</t>
  </si>
  <si>
    <t>Emeka Ndubuisi</t>
  </si>
  <si>
    <t>SE-COC-0080</t>
  </si>
  <si>
    <t>Yusuf Ekwueme</t>
  </si>
  <si>
    <t>NC-GRN-0081</t>
  </si>
  <si>
    <t>Aisha Ogundele</t>
  </si>
  <si>
    <t>SE-COC-0082</t>
  </si>
  <si>
    <t>Adesuwa Bello</t>
  </si>
  <si>
    <t>SW-YAM-0083</t>
  </si>
  <si>
    <t>Rasheed Mohammed</t>
  </si>
  <si>
    <t>NW-SOR-0084</t>
  </si>
  <si>
    <t>Chinedu Sani</t>
  </si>
  <si>
    <t>NW-YAM-0085</t>
  </si>
  <si>
    <t>Yusuf Uzoma</t>
  </si>
  <si>
    <t>NW-SOR-0086</t>
  </si>
  <si>
    <t>Hauwa Igwe</t>
  </si>
  <si>
    <t>NW-YAM-0087</t>
  </si>
  <si>
    <t>Halima   Ekwueme</t>
  </si>
  <si>
    <t>SE-YAM-0088</t>
  </si>
  <si>
    <t>Ekene Salihu</t>
  </si>
  <si>
    <t>SW-SOR-0089</t>
  </si>
  <si>
    <t xml:space="preserve">Kelechi Onyeka  </t>
  </si>
  <si>
    <t>NC-COC-0090</t>
  </si>
  <si>
    <t>Yetunde Aliyu</t>
  </si>
  <si>
    <t>NW-CAS-0091</t>
  </si>
  <si>
    <t>Folake Abubakar</t>
  </si>
  <si>
    <t>SE-COC-0092</t>
  </si>
  <si>
    <t>Kabiru Garba</t>
  </si>
  <si>
    <t>NC-RIC-0093</t>
  </si>
  <si>
    <t>Morayo Yakubu</t>
  </si>
  <si>
    <t>NW-MIL-0094</t>
  </si>
  <si>
    <t>Chiamaka Aliyu</t>
  </si>
  <si>
    <t>SW-COC-0095</t>
  </si>
  <si>
    <t xml:space="preserve">Osaretin Ekwueme  </t>
  </si>
  <si>
    <t>NW-CAS-0096</t>
  </si>
  <si>
    <t>Rukayya Musa</t>
  </si>
  <si>
    <t>SS-RIC-0097</t>
  </si>
  <si>
    <t>Morayo Igwe</t>
  </si>
  <si>
    <t>NW-MAZ-0098</t>
  </si>
  <si>
    <t>Adesuwa Aliyu</t>
  </si>
  <si>
    <t>SS-YAM-0099</t>
  </si>
  <si>
    <t>Hauwa Okeke</t>
  </si>
  <si>
    <t>SW-MIL-0100</t>
  </si>
  <si>
    <t>Emmanuel Ojo</t>
  </si>
  <si>
    <t>SE-RIC-0101</t>
  </si>
  <si>
    <t>Adebayo Yakubu</t>
  </si>
  <si>
    <t>SW-COC-0102</t>
  </si>
  <si>
    <t>Ayodele Anyanwu</t>
  </si>
  <si>
    <t>SS-MIL-0103</t>
  </si>
  <si>
    <t xml:space="preserve">  Hauwa Okeke</t>
  </si>
  <si>
    <t>SE-MIL-0104</t>
  </si>
  <si>
    <t>Ngozi Bello</t>
  </si>
  <si>
    <t>SS-RIC-0105</t>
  </si>
  <si>
    <t>Chidinma Nnamdi</t>
  </si>
  <si>
    <t>NC-RIC-0106</t>
  </si>
  <si>
    <t>Fatima Ibe</t>
  </si>
  <si>
    <t>SS-MIL-0107</t>
  </si>
  <si>
    <t>Babajide Sani</t>
  </si>
  <si>
    <t>SE-MIL-0108</t>
  </si>
  <si>
    <t>Folake Adeyemi</t>
  </si>
  <si>
    <t>NC-CAS-0109</t>
  </si>
  <si>
    <t>Nkechi Nwachukwu</t>
  </si>
  <si>
    <t>SS-SOR-0110</t>
  </si>
  <si>
    <t>Temitope Obi</t>
  </si>
  <si>
    <t>NW-RIC-0111</t>
  </si>
  <si>
    <t>Adesuwa Onyeka</t>
  </si>
  <si>
    <t>SW-MAZ-0112</t>
  </si>
  <si>
    <t>Oluwaseun Chukwu</t>
  </si>
  <si>
    <t>SS-CAS-0113</t>
  </si>
  <si>
    <t>Nkechi Fashola</t>
  </si>
  <si>
    <t>NW-MIL-0114</t>
  </si>
  <si>
    <t>Bola Obi</t>
  </si>
  <si>
    <t>SS-CAS-0115</t>
  </si>
  <si>
    <t>Peter Nnamdi</t>
  </si>
  <si>
    <t>SE-RIC-0116</t>
  </si>
  <si>
    <t>Ngozi Lawal</t>
  </si>
  <si>
    <t>NC-CAS-0117</t>
  </si>
  <si>
    <t>Aminu Salihu</t>
  </si>
  <si>
    <t>SS-YAM-0118</t>
  </si>
  <si>
    <t>Fatima Fashola</t>
  </si>
  <si>
    <t>SE-CAS-0119</t>
  </si>
  <si>
    <t>Tunde Okeke</t>
  </si>
  <si>
    <t>SE-GRN-0120</t>
  </si>
  <si>
    <t>Feyisayo Balogun</t>
  </si>
  <si>
    <t>SW-MIL-0121</t>
  </si>
  <si>
    <t>Suleiman Danladi</t>
  </si>
  <si>
    <t>SW-YAM-0122</t>
  </si>
  <si>
    <t>Uche  Mohammed</t>
  </si>
  <si>
    <t>SE-MIL-0123</t>
  </si>
  <si>
    <t>Nkechi Lawal</t>
  </si>
  <si>
    <t>SW-SOR-0124</t>
  </si>
  <si>
    <t>Obioma Okafor</t>
  </si>
  <si>
    <t>SE-SOR-0125</t>
  </si>
  <si>
    <t>Ngozi Anyanwu</t>
  </si>
  <si>
    <t>NE-YAM-0126</t>
  </si>
  <si>
    <t>Oluwaseun Adisa</t>
  </si>
  <si>
    <t>SE-COC-0127</t>
  </si>
  <si>
    <t>Tunde Onyeka</t>
  </si>
  <si>
    <t>SW-SOR-0128</t>
  </si>
  <si>
    <t>Peter Balogun</t>
  </si>
  <si>
    <t>SW-CAS-0129</t>
  </si>
  <si>
    <t xml:space="preserve">  Mary Ibe</t>
  </si>
  <si>
    <t>SS-MAZ-0130</t>
  </si>
  <si>
    <t>Blessing Okoye</t>
  </si>
  <si>
    <t>SS-SOR-0131</t>
  </si>
  <si>
    <t>Feyisayo Ndubuisi</t>
  </si>
  <si>
    <t>SS-SOR-0132</t>
  </si>
  <si>
    <t>Adebayo Bello</t>
  </si>
  <si>
    <t>SW-SOR-0133</t>
  </si>
  <si>
    <t>Precious Ndubuisi</t>
  </si>
  <si>
    <t>NE-MAZ-0134</t>
  </si>
  <si>
    <t>Chiamaka Uzoma</t>
  </si>
  <si>
    <t>NE-SOR-0135</t>
  </si>
  <si>
    <t>Aisha Ojo</t>
  </si>
  <si>
    <t>NW-GRN-0136</t>
  </si>
  <si>
    <t>Peter Nwachukwu</t>
  </si>
  <si>
    <t>SE-MIL-0137</t>
  </si>
  <si>
    <t>Aminu Okoye</t>
  </si>
  <si>
    <t>SE-YAM-0138</t>
  </si>
  <si>
    <t>Bola Okeke</t>
  </si>
  <si>
    <t>NC-GRN-0139</t>
  </si>
  <si>
    <t>Ayodele Obi</t>
  </si>
  <si>
    <t>NC-CAS-0140</t>
  </si>
  <si>
    <t>Halima Adisa</t>
  </si>
  <si>
    <t>SW-COC-0141</t>
  </si>
  <si>
    <t>Abdullahi Salihu</t>
  </si>
  <si>
    <t>NW-RIC-0142</t>
  </si>
  <si>
    <t>Emeka Salihu</t>
  </si>
  <si>
    <t>SW-MAZ-0143</t>
  </si>
  <si>
    <t>Suleiman Okoye</t>
  </si>
  <si>
    <t>NW-GRN-0144</t>
  </si>
  <si>
    <t>Fatima Eze</t>
  </si>
  <si>
    <t>SW-MIL-0145</t>
  </si>
  <si>
    <t>Kabiru Anyanwu</t>
  </si>
  <si>
    <t>NW-SOR-0146</t>
  </si>
  <si>
    <t>Suleiman Akande</t>
  </si>
  <si>
    <t>NW-YAM-0147</t>
  </si>
  <si>
    <t>Segun Eze</t>
  </si>
  <si>
    <t>NE-SOR-0148</t>
  </si>
  <si>
    <t>Yetunde Usman</t>
  </si>
  <si>
    <t>SE-CAS-0149</t>
  </si>
  <si>
    <t>Babajide Igwe</t>
  </si>
  <si>
    <t>SE-MIL-0150</t>
  </si>
  <si>
    <t>Ayodele Okonkwo</t>
  </si>
  <si>
    <t>NW-MIL-0151</t>
  </si>
  <si>
    <t>Rasheed Nnamdi</t>
  </si>
  <si>
    <t>NE-COC-0152</t>
  </si>
  <si>
    <t>Temitope Okafor</t>
  </si>
  <si>
    <t>SW-COC-0153</t>
  </si>
  <si>
    <t>Temitope Ogundele</t>
  </si>
  <si>
    <t>NW-SOR-0154</t>
  </si>
  <si>
    <t>Chukwudi Tanko</t>
  </si>
  <si>
    <t>SW-MIL-0155</t>
  </si>
  <si>
    <t>Suleiman Adamu</t>
  </si>
  <si>
    <t>NW-MAZ-0156</t>
  </si>
  <si>
    <t>Victory Okafor</t>
  </si>
  <si>
    <t>SW-MIL-0157</t>
  </si>
  <si>
    <t>Chinedu Okafor</t>
  </si>
  <si>
    <t>NW-CAS-0158</t>
  </si>
  <si>
    <t>Ayodele Abubakar</t>
  </si>
  <si>
    <t>NW-MAZ-0159</t>
  </si>
  <si>
    <t>Obinna Onyeka</t>
  </si>
  <si>
    <t>SE-MAZ-0160</t>
  </si>
  <si>
    <t>Yetunde Danladi</t>
  </si>
  <si>
    <t>NC-MAZ-0161</t>
  </si>
  <si>
    <t>Segun Tanko</t>
  </si>
  <si>
    <t>SS-CAS-0162</t>
  </si>
  <si>
    <t>Peter Yakubu</t>
  </si>
  <si>
    <t>NW-SOR-0163</t>
  </si>
  <si>
    <t>Peter Obi</t>
  </si>
  <si>
    <t>NW-SOR-0164</t>
  </si>
  <si>
    <t>Uche Anyanwu</t>
  </si>
  <si>
    <t>NW-CAS-0165</t>
  </si>
  <si>
    <t>Zainab Obi</t>
  </si>
  <si>
    <t>SW-GRN-0166</t>
  </si>
  <si>
    <t>Emmanuel Yakubu</t>
  </si>
  <si>
    <t>NE-GRN-0167</t>
  </si>
  <si>
    <t>Kunle Uzoma</t>
  </si>
  <si>
    <t>SW-COC-0168</t>
  </si>
  <si>
    <t>Esther Okeke</t>
  </si>
  <si>
    <t>NC-SOR-0169</t>
  </si>
  <si>
    <t>Precious Nwachukwu</t>
  </si>
  <si>
    <t>SE-MAZ-0170</t>
  </si>
  <si>
    <t>Grace Ayuba</t>
  </si>
  <si>
    <t>NE-GRN-0171</t>
  </si>
  <si>
    <t>Peter Anyanwu</t>
  </si>
  <si>
    <t>SE-RIC-0172</t>
  </si>
  <si>
    <t>Chiamaka Ibe</t>
  </si>
  <si>
    <t>NW-SOR-0173</t>
  </si>
  <si>
    <t>Yetunde Adisa</t>
  </si>
  <si>
    <t>NW-SOR-0174</t>
  </si>
  <si>
    <t>Abdullahi Yakubu</t>
  </si>
  <si>
    <t>NC-RIC-0175</t>
  </si>
  <si>
    <t>Temitope Adeyemi</t>
  </si>
  <si>
    <t>SW-YAM-0176</t>
  </si>
  <si>
    <t>John Onyeka</t>
  </si>
  <si>
    <t>NE-YAM-0177</t>
  </si>
  <si>
    <t>Kunle Eze</t>
  </si>
  <si>
    <t>SW-GRN-0178</t>
  </si>
  <si>
    <t>Damilola Bello</t>
  </si>
  <si>
    <t>NW-CAS-0179</t>
  </si>
  <si>
    <t>Ibrahim Chukwu</t>
  </si>
  <si>
    <t>SW-SOR-0180</t>
  </si>
  <si>
    <t>Amaka Sani</t>
  </si>
  <si>
    <t>SW-MIL-0181</t>
  </si>
  <si>
    <t>Nkechi Adamu</t>
  </si>
  <si>
    <t>SE-RIC-0182</t>
  </si>
  <si>
    <t>Olamide Bello</t>
  </si>
  <si>
    <t>NE-SOR-0183</t>
  </si>
  <si>
    <t>Kabiru Adeyemi</t>
  </si>
  <si>
    <t>SS-GRN-0184</t>
  </si>
  <si>
    <t>NC-RIC-0185</t>
  </si>
  <si>
    <t>Amaka Uzoma</t>
  </si>
  <si>
    <t>SE-SOR-0186</t>
  </si>
  <si>
    <t>Babajide Uzoma</t>
  </si>
  <si>
    <t>SE-MAZ-0187</t>
  </si>
  <si>
    <t>Kabiru Yakubu</t>
  </si>
  <si>
    <t>NC-COC-0188</t>
  </si>
  <si>
    <t>Chukwudi Usman</t>
  </si>
  <si>
    <t>SW-MAZ-0189</t>
  </si>
  <si>
    <t>Zainab Abubakar</t>
  </si>
  <si>
    <t>SS-CAS-0190</t>
  </si>
  <si>
    <t>SW-MAZ-0191</t>
  </si>
  <si>
    <t>Adaeze Aliyu</t>
  </si>
  <si>
    <t>NE-GRN-0192</t>
  </si>
  <si>
    <t>Emmanuel Okoye</t>
  </si>
  <si>
    <t>SE-MIL-0193</t>
  </si>
  <si>
    <t>Kabiru Danladi</t>
  </si>
  <si>
    <t>SE-SOR-0194</t>
  </si>
  <si>
    <t>Emmanuel Balogun</t>
  </si>
  <si>
    <t>SW-GRN-0195</t>
  </si>
  <si>
    <t>Kelechi Ibe</t>
  </si>
  <si>
    <t>SW-RIC-0196</t>
  </si>
  <si>
    <t>Chinedu Tanko</t>
  </si>
  <si>
    <t>SE-CAS-0197</t>
  </si>
  <si>
    <t>Kunle Yakubu</t>
  </si>
  <si>
    <t>SS-GRN-0198</t>
  </si>
  <si>
    <t xml:space="preserve">  Grace Ibe</t>
  </si>
  <si>
    <t>NE-MIL-0199</t>
  </si>
  <si>
    <t>NW-SOR-0200</t>
  </si>
  <si>
    <t>Blessing Usman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</si>
</sst>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m\-yyyy"/>
  </numFmts>
  <fonts count="3" x14ac:knownFonts="1"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E9F3E4"/>
        <bgColor rgb="FFE9F3E4"/>
      </patternFill>
    </fill>
    <fill>
      <patternFill patternType="solid">
        <fgColor rgb="FFEEF3FB"/>
        <bgColor rgb="FFEEF3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0" fillId="4" borderId="1" xfId="0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right"/>
    </xf>
    <xf numFmtId="165" fontId="2" fillId="5" borderId="1" xfId="0" applyNumberFormat="1" applyFont="1" applyFill="1" applyBorder="1" applyAlignment="1">
      <alignment horizontal="right"/>
    </xf>
    <xf numFmtId="3" fontId="2" fillId="5" borderId="1" xfId="0" applyNumberFormat="1" applyFont="1" applyFill="1" applyBorder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9076-AC0B-4F1A-BCBE-131DF24AF1B0}">
  <dimension ref="A1:Z1000"/>
  <sheetViews>
    <sheetView tabSelected="1" topLeftCell="J1" zoomScale="95" zoomScaleNormal="95" workbookViewId="0">
      <selection activeCell="T3" sqref="T3"/>
    </sheetView>
  </sheetViews>
  <sheetFormatPr defaultRowHeight="15" customHeight="1" x14ac:dyDescent="0.25"/>
  <cols>
    <col min="1" max="1" width="6.28515625" customWidth="1"/>
    <col min="2" max="2" width="17" customWidth="1"/>
    <col min="3" max="3" width="23.28515625" customWidth="1"/>
    <col min="4" max="4" width="17" customWidth="1"/>
    <col min="5" max="5" width="12.7109375" customWidth="1"/>
    <col min="6" max="7" width="17" customWidth="1"/>
    <col min="8" max="8" width="14.85546875" customWidth="1"/>
    <col min="9" max="9" width="19" customWidth="1"/>
    <col min="10" max="10" width="17" customWidth="1"/>
    <col min="11" max="11" width="19" customWidth="1"/>
    <col min="12" max="12" width="17" customWidth="1"/>
    <col min="13" max="13" width="21.140625" customWidth="1"/>
    <col min="14" max="14" width="19" customWidth="1"/>
    <col min="15" max="15" width="19.7109375" customWidth="1"/>
    <col min="16" max="16" width="20.140625" customWidth="1"/>
    <col min="17" max="17" width="21.28515625" customWidth="1"/>
    <col min="18" max="18" width="18.5703125" customWidth="1"/>
    <col min="19" max="19" width="17" customWidth="1"/>
    <col min="20" max="20" width="29.140625" customWidth="1"/>
    <col min="21" max="21" width="18.85546875" customWidth="1"/>
    <col min="22" max="22" width="12.7109375" hidden="1" customWidth="1"/>
    <col min="23" max="23" width="28.5703125" hidden="1" customWidth="1"/>
    <col min="24" max="24" width="12.85546875" hidden="1" customWidth="1"/>
    <col min="25" max="25" width="14" hidden="1" customWidth="1"/>
    <col min="26" max="26" width="15" hidden="1" customWidth="1"/>
    <col min="27" max="1024" width="15.28515625" customWidth="1"/>
    <col min="1025" max="1025" width="9.140625" customWidth="1"/>
  </cols>
  <sheetData>
    <row r="1" spans="1:26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6" ht="14.25" customHeight="1" x14ac:dyDescent="0.25">
      <c r="A2" s="4">
        <v>1</v>
      </c>
      <c r="B2" s="5" t="s">
        <v>21</v>
      </c>
      <c r="C2" s="5" t="s">
        <v>22</v>
      </c>
      <c r="D2" s="5" t="s">
        <v>23</v>
      </c>
      <c r="E2" s="5" t="s">
        <v>24</v>
      </c>
      <c r="F2" s="6">
        <v>0.6</v>
      </c>
      <c r="G2" s="7">
        <v>45685</v>
      </c>
      <c r="H2" s="7">
        <v>45829</v>
      </c>
      <c r="I2" s="7">
        <v>45951</v>
      </c>
      <c r="J2" s="7">
        <v>45954</v>
      </c>
      <c r="K2" s="8">
        <v>1290</v>
      </c>
      <c r="L2" s="5" t="s">
        <v>25</v>
      </c>
      <c r="M2" s="8">
        <v>24000</v>
      </c>
      <c r="N2" s="9" t="str">
        <f t="shared" ref="N2:N65" si="0">IF(F2&lt;2,"Small holder",IF(F2&lt;=10,"Medium scale","Commercial"))</f>
        <v>Small holder</v>
      </c>
      <c r="O2" s="9" t="str">
        <f t="shared" ref="O2:O65" si="1">IF(J2&gt;I2,"Delayed","On Schedule")</f>
        <v>Delayed</v>
      </c>
      <c r="P2" s="9" t="str">
        <f t="shared" ref="P2:P65" si="2">IF(AND(L2="Good",F2&gt;=2),"Loan eligible","Not eligible")</f>
        <v>Not eligible</v>
      </c>
      <c r="Q2" s="9">
        <f t="shared" ref="Q2:Q65" si="3">J2-H2</f>
        <v>125</v>
      </c>
      <c r="R2" s="9" t="str">
        <f t="shared" ref="R2:R65" si="4">LEFT(B2,2)</f>
        <v>SS</v>
      </c>
      <c r="S2" s="9" t="str">
        <f t="shared" ref="S2:S65" si="5">MID(B2,4,3)</f>
        <v>RIC</v>
      </c>
      <c r="T2" s="9" t="str">
        <f t="shared" ref="T2:T65" si="6">TRIM(C2)</f>
        <v>Chinedu Afolabi</v>
      </c>
      <c r="U2" t="str">
        <f>TEXT(J2,"MMMM")</f>
        <v>October</v>
      </c>
      <c r="W2">
        <v>1</v>
      </c>
      <c r="X2">
        <f>COUNTIF(U2:U201,1)</f>
        <v>0</v>
      </c>
    </row>
    <row r="3" spans="1:26" ht="14.25" customHeight="1" x14ac:dyDescent="0.25">
      <c r="A3" s="10">
        <v>2</v>
      </c>
      <c r="B3" s="11" t="s">
        <v>26</v>
      </c>
      <c r="C3" s="11" t="s">
        <v>27</v>
      </c>
      <c r="D3" s="11" t="s">
        <v>28</v>
      </c>
      <c r="E3" s="11" t="s">
        <v>29</v>
      </c>
      <c r="F3" s="12">
        <v>2.1</v>
      </c>
      <c r="G3" s="13">
        <v>45752</v>
      </c>
      <c r="H3" s="13">
        <v>45797</v>
      </c>
      <c r="I3" s="13">
        <v>45909</v>
      </c>
      <c r="J3" s="13">
        <v>45905</v>
      </c>
      <c r="K3" s="14">
        <v>1670</v>
      </c>
      <c r="L3" s="11" t="s">
        <v>30</v>
      </c>
      <c r="M3" s="14">
        <v>90000</v>
      </c>
      <c r="N3" s="9" t="str">
        <f t="shared" si="0"/>
        <v>Medium scale</v>
      </c>
      <c r="O3" s="9" t="str">
        <f t="shared" si="1"/>
        <v>On Schedule</v>
      </c>
      <c r="P3" s="9" t="str">
        <f t="shared" si="2"/>
        <v>Not eligible</v>
      </c>
      <c r="Q3" s="9">
        <f t="shared" si="3"/>
        <v>108</v>
      </c>
      <c r="R3" s="9" t="str">
        <f t="shared" si="4"/>
        <v>NE</v>
      </c>
      <c r="S3" s="9" t="str">
        <f t="shared" si="5"/>
        <v>GRN</v>
      </c>
      <c r="T3" s="9" t="str">
        <f t="shared" si="6"/>
        <v>Yetunde Obi</v>
      </c>
      <c r="U3" t="str">
        <f t="shared" ref="U3:U66" si="7">TEXT(J3,"MMMM")</f>
        <v>September</v>
      </c>
      <c r="W3">
        <v>2</v>
      </c>
      <c r="X3">
        <f>COUNTIF($U$2:$U$201,2)</f>
        <v>0</v>
      </c>
    </row>
    <row r="4" spans="1:26" ht="14.25" customHeight="1" x14ac:dyDescent="0.25">
      <c r="A4" s="4">
        <v>3</v>
      </c>
      <c r="B4" s="5" t="s">
        <v>31</v>
      </c>
      <c r="C4" s="5" t="s">
        <v>32</v>
      </c>
      <c r="D4" s="5" t="s">
        <v>33</v>
      </c>
      <c r="E4" s="5" t="s">
        <v>34</v>
      </c>
      <c r="F4" s="6">
        <v>7.8</v>
      </c>
      <c r="G4" s="7">
        <v>45476</v>
      </c>
      <c r="H4" s="7">
        <v>45512</v>
      </c>
      <c r="I4" s="7">
        <v>45860</v>
      </c>
      <c r="J4" s="7">
        <v>45856</v>
      </c>
      <c r="K4" s="8">
        <v>4670</v>
      </c>
      <c r="L4" s="5" t="s">
        <v>35</v>
      </c>
      <c r="M4" s="8">
        <v>447000</v>
      </c>
      <c r="N4" s="9" t="str">
        <f t="shared" si="0"/>
        <v>Medium scale</v>
      </c>
      <c r="O4" s="9" t="str">
        <f t="shared" si="1"/>
        <v>On Schedule</v>
      </c>
      <c r="P4" s="9" t="str">
        <f t="shared" si="2"/>
        <v>Not eligible</v>
      </c>
      <c r="Q4" s="9">
        <f t="shared" si="3"/>
        <v>344</v>
      </c>
      <c r="R4" s="9" t="str">
        <f t="shared" si="4"/>
        <v>NW</v>
      </c>
      <c r="S4" s="9" t="str">
        <f t="shared" si="5"/>
        <v>COC</v>
      </c>
      <c r="T4" s="9" t="str">
        <f t="shared" si="6"/>
        <v>Rasheed Musa</v>
      </c>
      <c r="U4" t="str">
        <f t="shared" si="7"/>
        <v>July</v>
      </c>
      <c r="W4">
        <v>3</v>
      </c>
      <c r="X4">
        <f>COUNTIF($U$2:$U$201,3)</f>
        <v>0</v>
      </c>
    </row>
    <row r="5" spans="1:26" ht="14.25" customHeight="1" x14ac:dyDescent="0.25">
      <c r="A5" s="10">
        <v>4</v>
      </c>
      <c r="B5" s="11" t="s">
        <v>36</v>
      </c>
      <c r="C5" s="11" t="s">
        <v>37</v>
      </c>
      <c r="D5" s="11" t="s">
        <v>23</v>
      </c>
      <c r="E5" s="11" t="s">
        <v>24</v>
      </c>
      <c r="F5" s="12">
        <v>22.8</v>
      </c>
      <c r="G5" s="13">
        <v>45814</v>
      </c>
      <c r="H5" s="13">
        <v>45844</v>
      </c>
      <c r="I5" s="13">
        <v>45976</v>
      </c>
      <c r="J5" s="13">
        <v>45966</v>
      </c>
      <c r="K5" s="14">
        <v>82110</v>
      </c>
      <c r="L5" s="11" t="s">
        <v>25</v>
      </c>
      <c r="M5" s="14">
        <v>1370000</v>
      </c>
      <c r="N5" s="9" t="str">
        <f t="shared" si="0"/>
        <v>Commercial</v>
      </c>
      <c r="O5" s="9" t="str">
        <f t="shared" si="1"/>
        <v>On Schedule</v>
      </c>
      <c r="P5" s="9" t="str">
        <f t="shared" si="2"/>
        <v>Loan eligible</v>
      </c>
      <c r="Q5" s="9">
        <f t="shared" si="3"/>
        <v>122</v>
      </c>
      <c r="R5" s="9" t="str">
        <f t="shared" si="4"/>
        <v>SS</v>
      </c>
      <c r="S5" s="9" t="str">
        <f t="shared" si="5"/>
        <v>RIC</v>
      </c>
      <c r="T5" s="9" t="str">
        <f t="shared" si="6"/>
        <v>Ifeoma Okonkwo</v>
      </c>
      <c r="U5" t="str">
        <f t="shared" si="7"/>
        <v>November</v>
      </c>
      <c r="W5">
        <v>4</v>
      </c>
      <c r="X5">
        <f>COUNTIF($U$2:$U$201,4)</f>
        <v>0</v>
      </c>
    </row>
    <row r="6" spans="1:26" ht="14.25" customHeight="1" x14ac:dyDescent="0.25">
      <c r="A6" s="4">
        <v>5</v>
      </c>
      <c r="B6" s="5" t="s">
        <v>38</v>
      </c>
      <c r="C6" s="5" t="s">
        <v>39</v>
      </c>
      <c r="D6" s="5" t="s">
        <v>23</v>
      </c>
      <c r="E6" s="5" t="s">
        <v>24</v>
      </c>
      <c r="F6" s="6">
        <v>1.1000000000000001</v>
      </c>
      <c r="G6" s="7">
        <v>45203</v>
      </c>
      <c r="H6" s="7">
        <v>45371</v>
      </c>
      <c r="I6" s="7">
        <v>45513</v>
      </c>
      <c r="J6" s="7">
        <v>45557</v>
      </c>
      <c r="K6" s="8">
        <v>2950</v>
      </c>
      <c r="L6" s="5" t="s">
        <v>35</v>
      </c>
      <c r="M6" s="8">
        <v>0</v>
      </c>
      <c r="N6" s="9" t="str">
        <f t="shared" si="0"/>
        <v>Small holder</v>
      </c>
      <c r="O6" s="9" t="str">
        <f t="shared" si="1"/>
        <v>Delayed</v>
      </c>
      <c r="P6" s="9" t="str">
        <f t="shared" si="2"/>
        <v>Not eligible</v>
      </c>
      <c r="Q6" s="9">
        <f t="shared" si="3"/>
        <v>186</v>
      </c>
      <c r="R6" s="9" t="str">
        <f t="shared" si="4"/>
        <v>SS</v>
      </c>
      <c r="S6" s="9" t="str">
        <f t="shared" si="5"/>
        <v>RIC</v>
      </c>
      <c r="T6" s="9" t="str">
        <f t="shared" si="6"/>
        <v>Oluwaseun Adamu</v>
      </c>
      <c r="U6" t="str">
        <f t="shared" si="7"/>
        <v>September</v>
      </c>
      <c r="W6">
        <v>5</v>
      </c>
      <c r="X6">
        <f>COUNTIF($U$2:$U$201,5)</f>
        <v>0</v>
      </c>
      <c r="Z6" t="s">
        <v>40</v>
      </c>
    </row>
    <row r="7" spans="1:26" ht="14.25" customHeight="1" x14ac:dyDescent="0.25">
      <c r="A7" s="10">
        <v>6</v>
      </c>
      <c r="B7" s="11" t="s">
        <v>41</v>
      </c>
      <c r="C7" s="11" t="s">
        <v>42</v>
      </c>
      <c r="D7" s="11" t="s">
        <v>33</v>
      </c>
      <c r="E7" s="11" t="s">
        <v>34</v>
      </c>
      <c r="F7" s="12">
        <v>18.5</v>
      </c>
      <c r="G7" s="13">
        <v>45662</v>
      </c>
      <c r="H7" s="13">
        <v>45747</v>
      </c>
      <c r="I7" s="13">
        <v>46074</v>
      </c>
      <c r="J7" s="13">
        <v>46100</v>
      </c>
      <c r="K7" s="14">
        <v>11380</v>
      </c>
      <c r="L7" s="11" t="s">
        <v>35</v>
      </c>
      <c r="M7" s="14">
        <v>0</v>
      </c>
      <c r="N7" s="9" t="str">
        <f t="shared" si="0"/>
        <v>Commercial</v>
      </c>
      <c r="O7" s="9" t="str">
        <f t="shared" si="1"/>
        <v>Delayed</v>
      </c>
      <c r="P7" s="9" t="str">
        <f t="shared" si="2"/>
        <v>Not eligible</v>
      </c>
      <c r="Q7" s="9">
        <f t="shared" si="3"/>
        <v>353</v>
      </c>
      <c r="R7" s="9" t="str">
        <f t="shared" si="4"/>
        <v>NW</v>
      </c>
      <c r="S7" s="9" t="str">
        <f t="shared" si="5"/>
        <v>COC</v>
      </c>
      <c r="T7" s="9" t="str">
        <f t="shared" si="6"/>
        <v>Halima Afolabi</v>
      </c>
      <c r="U7" t="str">
        <f t="shared" si="7"/>
        <v>March</v>
      </c>
      <c r="V7" t="s">
        <v>43</v>
      </c>
      <c r="W7">
        <v>6</v>
      </c>
      <c r="X7">
        <f>COUNTIF($U$2:$U$201,6)</f>
        <v>0</v>
      </c>
    </row>
    <row r="8" spans="1:26" ht="14.25" customHeight="1" x14ac:dyDescent="0.25">
      <c r="A8" s="4">
        <v>7</v>
      </c>
      <c r="B8" s="5" t="s">
        <v>44</v>
      </c>
      <c r="C8" s="5" t="s">
        <v>45</v>
      </c>
      <c r="D8" s="5" t="s">
        <v>28</v>
      </c>
      <c r="E8" s="5" t="s">
        <v>46</v>
      </c>
      <c r="F8" s="6">
        <v>5.4</v>
      </c>
      <c r="G8" s="7">
        <v>45524</v>
      </c>
      <c r="H8" s="7">
        <v>45631</v>
      </c>
      <c r="I8" s="7">
        <v>45822</v>
      </c>
      <c r="J8" s="7">
        <v>45820</v>
      </c>
      <c r="K8" s="8">
        <v>43450</v>
      </c>
      <c r="L8" s="5" t="s">
        <v>25</v>
      </c>
      <c r="M8" s="8">
        <v>0</v>
      </c>
      <c r="N8" s="9" t="str">
        <f t="shared" si="0"/>
        <v>Medium scale</v>
      </c>
      <c r="O8" s="9" t="str">
        <f t="shared" si="1"/>
        <v>On Schedule</v>
      </c>
      <c r="P8" s="9" t="str">
        <f t="shared" si="2"/>
        <v>Loan eligible</v>
      </c>
      <c r="Q8" s="9">
        <f t="shared" si="3"/>
        <v>189</v>
      </c>
      <c r="R8" s="9" t="str">
        <f t="shared" si="4"/>
        <v>NE</v>
      </c>
      <c r="S8" s="9" t="str">
        <f t="shared" si="5"/>
        <v>YAM</v>
      </c>
      <c r="T8" s="9" t="str">
        <f t="shared" si="6"/>
        <v>Precious Salihu</v>
      </c>
      <c r="U8" t="str">
        <f t="shared" si="7"/>
        <v>June</v>
      </c>
      <c r="V8" s="15">
        <f>MIN(G2:G201)</f>
        <v>44930</v>
      </c>
      <c r="W8">
        <v>7</v>
      </c>
      <c r="X8">
        <f>COUNTIF($U$2:$U$201,7)</f>
        <v>0</v>
      </c>
    </row>
    <row r="9" spans="1:26" ht="14.25" customHeight="1" x14ac:dyDescent="0.25">
      <c r="A9" s="10">
        <v>8</v>
      </c>
      <c r="B9" s="11" t="s">
        <v>47</v>
      </c>
      <c r="C9" s="11" t="s">
        <v>48</v>
      </c>
      <c r="D9" s="11" t="s">
        <v>33</v>
      </c>
      <c r="E9" s="11" t="s">
        <v>49</v>
      </c>
      <c r="F9" s="12">
        <v>0.6</v>
      </c>
      <c r="G9" s="13">
        <v>45317</v>
      </c>
      <c r="H9" s="13">
        <v>45474</v>
      </c>
      <c r="I9" s="13">
        <v>45773</v>
      </c>
      <c r="J9" s="13">
        <v>45809</v>
      </c>
      <c r="K9" s="14">
        <v>7300</v>
      </c>
      <c r="L9" s="11" t="s">
        <v>25</v>
      </c>
      <c r="M9" s="14">
        <v>36000</v>
      </c>
      <c r="N9" s="9" t="str">
        <f t="shared" si="0"/>
        <v>Small holder</v>
      </c>
      <c r="O9" s="9" t="str">
        <f t="shared" si="1"/>
        <v>Delayed</v>
      </c>
      <c r="P9" s="9" t="str">
        <f t="shared" si="2"/>
        <v>Not eligible</v>
      </c>
      <c r="Q9" s="9">
        <f t="shared" si="3"/>
        <v>335</v>
      </c>
      <c r="R9" s="9" t="str">
        <f t="shared" si="4"/>
        <v>NW</v>
      </c>
      <c r="S9" s="9" t="str">
        <f t="shared" si="5"/>
        <v>CAS</v>
      </c>
      <c r="T9" s="9" t="str">
        <f t="shared" si="6"/>
        <v>Babajide Adamu</v>
      </c>
      <c r="U9" t="str">
        <f t="shared" si="7"/>
        <v>June</v>
      </c>
      <c r="V9" s="15">
        <f>MAX(G2:G201)</f>
        <v>45827</v>
      </c>
      <c r="W9">
        <v>8</v>
      </c>
      <c r="X9">
        <f>COUNTIF(U2:U201,8)</f>
        <v>0</v>
      </c>
    </row>
    <row r="10" spans="1:26" ht="14.25" customHeight="1" x14ac:dyDescent="0.25">
      <c r="A10" s="4">
        <v>9</v>
      </c>
      <c r="B10" s="5" t="s">
        <v>50</v>
      </c>
      <c r="C10" s="5" t="s">
        <v>51</v>
      </c>
      <c r="D10" s="5" t="s">
        <v>52</v>
      </c>
      <c r="E10" s="5" t="s">
        <v>53</v>
      </c>
      <c r="F10" s="6">
        <v>1.1000000000000001</v>
      </c>
      <c r="G10" s="7">
        <v>45666</v>
      </c>
      <c r="H10" s="7">
        <v>45738</v>
      </c>
      <c r="I10" s="7">
        <v>45854</v>
      </c>
      <c r="J10" s="7">
        <v>45887</v>
      </c>
      <c r="K10" s="8">
        <v>1650</v>
      </c>
      <c r="L10" s="5" t="s">
        <v>30</v>
      </c>
      <c r="M10" s="8">
        <v>65000</v>
      </c>
      <c r="N10" s="9" t="str">
        <f t="shared" si="0"/>
        <v>Small holder</v>
      </c>
      <c r="O10" s="9" t="str">
        <f t="shared" si="1"/>
        <v>Delayed</v>
      </c>
      <c r="P10" s="9" t="str">
        <f t="shared" si="2"/>
        <v>Not eligible</v>
      </c>
      <c r="Q10" s="9">
        <f t="shared" si="3"/>
        <v>149</v>
      </c>
      <c r="R10" s="9" t="str">
        <f t="shared" si="4"/>
        <v>SE</v>
      </c>
      <c r="S10" s="9" t="str">
        <f t="shared" si="5"/>
        <v>SOR</v>
      </c>
      <c r="T10" s="9" t="str">
        <f t="shared" si="6"/>
        <v>Emmanuel Aliyu</v>
      </c>
      <c r="U10" t="str">
        <f t="shared" si="7"/>
        <v>August</v>
      </c>
      <c r="W10">
        <v>9</v>
      </c>
      <c r="X10">
        <f>COUNTIF($U$2:$U$201,9)</f>
        <v>0</v>
      </c>
    </row>
    <row r="11" spans="1:26" ht="14.25" customHeight="1" x14ac:dyDescent="0.25">
      <c r="A11" s="10">
        <v>10</v>
      </c>
      <c r="B11" s="11" t="s">
        <v>54</v>
      </c>
      <c r="C11" s="11" t="s">
        <v>55</v>
      </c>
      <c r="D11" s="11" t="s">
        <v>52</v>
      </c>
      <c r="E11" s="11" t="s">
        <v>46</v>
      </c>
      <c r="F11" s="12">
        <v>1.6</v>
      </c>
      <c r="G11" s="13">
        <v>45470</v>
      </c>
      <c r="H11" s="13">
        <v>45475</v>
      </c>
      <c r="I11" s="13">
        <v>45674</v>
      </c>
      <c r="J11" s="13">
        <v>45674</v>
      </c>
      <c r="K11" s="14">
        <v>9820</v>
      </c>
      <c r="L11" s="11" t="s">
        <v>25</v>
      </c>
      <c r="M11" s="14">
        <v>103000</v>
      </c>
      <c r="N11" s="9" t="str">
        <f t="shared" si="0"/>
        <v>Small holder</v>
      </c>
      <c r="O11" s="9" t="str">
        <f t="shared" si="1"/>
        <v>On Schedule</v>
      </c>
      <c r="P11" s="9" t="str">
        <f t="shared" si="2"/>
        <v>Not eligible</v>
      </c>
      <c r="Q11" s="9">
        <f t="shared" si="3"/>
        <v>199</v>
      </c>
      <c r="R11" s="9" t="str">
        <f t="shared" si="4"/>
        <v>SE</v>
      </c>
      <c r="S11" s="9" t="str">
        <f t="shared" si="5"/>
        <v>YAM</v>
      </c>
      <c r="T11" s="9" t="str">
        <f t="shared" si="6"/>
        <v>Uche Nnamdi</v>
      </c>
      <c r="U11" t="str">
        <f t="shared" si="7"/>
        <v>January</v>
      </c>
      <c r="W11">
        <v>10</v>
      </c>
      <c r="X11">
        <f>COUNTIF($U$2:$U$201,10)</f>
        <v>0</v>
      </c>
    </row>
    <row r="12" spans="1:26" ht="14.25" customHeight="1" x14ac:dyDescent="0.25">
      <c r="A12" s="4">
        <v>11</v>
      </c>
      <c r="B12" s="5" t="s">
        <v>56</v>
      </c>
      <c r="C12" s="5" t="s">
        <v>57</v>
      </c>
      <c r="D12" s="5" t="s">
        <v>28</v>
      </c>
      <c r="E12" s="5" t="s">
        <v>58</v>
      </c>
      <c r="F12" s="6">
        <v>1.2</v>
      </c>
      <c r="G12" s="7">
        <v>44997</v>
      </c>
      <c r="H12" s="7">
        <v>45138</v>
      </c>
      <c r="I12" s="7">
        <v>45252</v>
      </c>
      <c r="J12" s="7">
        <v>45242</v>
      </c>
      <c r="K12" s="8">
        <v>2960</v>
      </c>
      <c r="L12" s="5" t="s">
        <v>25</v>
      </c>
      <c r="M12" s="8">
        <v>79000</v>
      </c>
      <c r="N12" s="9" t="str">
        <f t="shared" si="0"/>
        <v>Small holder</v>
      </c>
      <c r="O12" s="9" t="str">
        <f t="shared" si="1"/>
        <v>On Schedule</v>
      </c>
      <c r="P12" s="9" t="str">
        <f t="shared" si="2"/>
        <v>Not eligible</v>
      </c>
      <c r="Q12" s="9">
        <f t="shared" si="3"/>
        <v>104</v>
      </c>
      <c r="R12" s="9" t="str">
        <f t="shared" si="4"/>
        <v>NE</v>
      </c>
      <c r="S12" s="9" t="str">
        <f t="shared" si="5"/>
        <v>MAZ</v>
      </c>
      <c r="T12" s="9" t="str">
        <f t="shared" si="6"/>
        <v>Ayodele Usman</v>
      </c>
      <c r="U12" t="str">
        <f t="shared" si="7"/>
        <v>November</v>
      </c>
      <c r="W12">
        <v>11</v>
      </c>
      <c r="X12">
        <f>COUNTIF($U$2:$U$201,11)</f>
        <v>0</v>
      </c>
    </row>
    <row r="13" spans="1:26" ht="14.25" customHeight="1" x14ac:dyDescent="0.25">
      <c r="A13" s="10">
        <v>12</v>
      </c>
      <c r="B13" s="11" t="s">
        <v>59</v>
      </c>
      <c r="C13" s="11" t="s">
        <v>60</v>
      </c>
      <c r="D13" s="11" t="s">
        <v>61</v>
      </c>
      <c r="E13" s="11" t="s">
        <v>46</v>
      </c>
      <c r="F13" s="12">
        <v>7.6</v>
      </c>
      <c r="G13" s="13">
        <v>45335</v>
      </c>
      <c r="H13" s="13">
        <v>45511</v>
      </c>
      <c r="I13" s="13">
        <v>45711</v>
      </c>
      <c r="J13" s="13">
        <v>45703</v>
      </c>
      <c r="K13" s="14">
        <v>59030</v>
      </c>
      <c r="L13" s="11" t="s">
        <v>25</v>
      </c>
      <c r="M13" s="14">
        <v>0</v>
      </c>
      <c r="N13" s="9" t="str">
        <f t="shared" si="0"/>
        <v>Medium scale</v>
      </c>
      <c r="O13" s="9" t="str">
        <f t="shared" si="1"/>
        <v>On Schedule</v>
      </c>
      <c r="P13" s="9" t="str">
        <f t="shared" si="2"/>
        <v>Loan eligible</v>
      </c>
      <c r="Q13" s="9">
        <f t="shared" si="3"/>
        <v>192</v>
      </c>
      <c r="R13" s="9" t="str">
        <f t="shared" si="4"/>
        <v>SW</v>
      </c>
      <c r="S13" s="9" t="str">
        <f t="shared" si="5"/>
        <v>YAM</v>
      </c>
      <c r="T13" s="9" t="str">
        <f t="shared" si="6"/>
        <v>Umar Akande</v>
      </c>
      <c r="U13" t="str">
        <f t="shared" si="7"/>
        <v>February</v>
      </c>
      <c r="W13">
        <v>12</v>
      </c>
      <c r="X13">
        <f>COUNTIF($U$2:$U$201,12)</f>
        <v>0</v>
      </c>
    </row>
    <row r="14" spans="1:26" ht="14.25" customHeight="1" x14ac:dyDescent="0.25">
      <c r="A14" s="4">
        <v>13</v>
      </c>
      <c r="B14" s="5" t="s">
        <v>62</v>
      </c>
      <c r="C14" s="5" t="s">
        <v>63</v>
      </c>
      <c r="D14" s="5" t="s">
        <v>33</v>
      </c>
      <c r="E14" s="5" t="s">
        <v>46</v>
      </c>
      <c r="F14" s="6">
        <v>1.8</v>
      </c>
      <c r="G14" s="7">
        <v>45807</v>
      </c>
      <c r="H14" s="7">
        <v>45896</v>
      </c>
      <c r="I14" s="7">
        <v>46078</v>
      </c>
      <c r="J14" s="7">
        <v>46096</v>
      </c>
      <c r="K14" s="8">
        <v>15860</v>
      </c>
      <c r="L14" s="5" t="s">
        <v>25</v>
      </c>
      <c r="M14" s="8">
        <v>0</v>
      </c>
      <c r="N14" s="9" t="str">
        <f t="shared" si="0"/>
        <v>Small holder</v>
      </c>
      <c r="O14" s="9" t="str">
        <f t="shared" si="1"/>
        <v>Delayed</v>
      </c>
      <c r="P14" s="9" t="str">
        <f t="shared" si="2"/>
        <v>Not eligible</v>
      </c>
      <c r="Q14" s="9">
        <f t="shared" si="3"/>
        <v>200</v>
      </c>
      <c r="R14" s="9" t="str">
        <f t="shared" si="4"/>
        <v>NW</v>
      </c>
      <c r="S14" s="9" t="str">
        <f t="shared" si="5"/>
        <v>YAM</v>
      </c>
      <c r="T14" s="9" t="str">
        <f t="shared" si="6"/>
        <v>Damilola Okonkwo</v>
      </c>
      <c r="U14" t="str">
        <f t="shared" si="7"/>
        <v>March</v>
      </c>
    </row>
    <row r="15" spans="1:26" ht="14.25" customHeight="1" x14ac:dyDescent="0.25">
      <c r="A15" s="10">
        <v>14</v>
      </c>
      <c r="B15" s="11" t="s">
        <v>64</v>
      </c>
      <c r="C15" s="11" t="s">
        <v>65</v>
      </c>
      <c r="D15" s="11" t="s">
        <v>52</v>
      </c>
      <c r="E15" s="11" t="s">
        <v>66</v>
      </c>
      <c r="F15" s="12">
        <v>0.6</v>
      </c>
      <c r="G15" s="13">
        <v>45368</v>
      </c>
      <c r="H15" s="13">
        <v>45463</v>
      </c>
      <c r="I15" s="13">
        <v>45561</v>
      </c>
      <c r="J15" s="13">
        <v>45561</v>
      </c>
      <c r="K15" s="14">
        <v>600</v>
      </c>
      <c r="L15" s="11" t="s">
        <v>30</v>
      </c>
      <c r="M15" s="14">
        <v>0</v>
      </c>
      <c r="N15" s="9" t="str">
        <f t="shared" si="0"/>
        <v>Small holder</v>
      </c>
      <c r="O15" s="9" t="str">
        <f t="shared" si="1"/>
        <v>On Schedule</v>
      </c>
      <c r="P15" s="9" t="str">
        <f t="shared" si="2"/>
        <v>Not eligible</v>
      </c>
      <c r="Q15" s="9">
        <f t="shared" si="3"/>
        <v>98</v>
      </c>
      <c r="R15" s="9" t="str">
        <f t="shared" si="4"/>
        <v>SE</v>
      </c>
      <c r="S15" s="9" t="str">
        <f t="shared" si="5"/>
        <v>MIL</v>
      </c>
      <c r="T15" s="9" t="str">
        <f t="shared" si="6"/>
        <v>Ayodele Ndubuisi</v>
      </c>
      <c r="U15" t="str">
        <f t="shared" si="7"/>
        <v>September</v>
      </c>
      <c r="W15" t="s">
        <v>67</v>
      </c>
      <c r="X15">
        <f>MAX($X$2:$X$13)</f>
        <v>0</v>
      </c>
    </row>
    <row r="16" spans="1:26" ht="14.25" customHeight="1" x14ac:dyDescent="0.25">
      <c r="A16" s="4">
        <v>15</v>
      </c>
      <c r="B16" s="5" t="s">
        <v>68</v>
      </c>
      <c r="C16" s="5" t="s">
        <v>69</v>
      </c>
      <c r="D16" s="5" t="s">
        <v>61</v>
      </c>
      <c r="E16" s="5" t="s">
        <v>34</v>
      </c>
      <c r="F16" s="6">
        <v>1.1000000000000001</v>
      </c>
      <c r="G16" s="7">
        <v>45359</v>
      </c>
      <c r="H16" s="7">
        <v>45410</v>
      </c>
      <c r="I16" s="7">
        <v>45745</v>
      </c>
      <c r="J16" s="7">
        <v>45750</v>
      </c>
      <c r="K16" s="8">
        <v>530</v>
      </c>
      <c r="L16" s="5" t="s">
        <v>30</v>
      </c>
      <c r="M16" s="8">
        <v>46000</v>
      </c>
      <c r="N16" s="9" t="str">
        <f t="shared" si="0"/>
        <v>Small holder</v>
      </c>
      <c r="O16" s="9" t="str">
        <f t="shared" si="1"/>
        <v>Delayed</v>
      </c>
      <c r="P16" s="9" t="str">
        <f t="shared" si="2"/>
        <v>Not eligible</v>
      </c>
      <c r="Q16" s="9">
        <f t="shared" si="3"/>
        <v>340</v>
      </c>
      <c r="R16" s="9" t="str">
        <f t="shared" si="4"/>
        <v>SW</v>
      </c>
      <c r="S16" s="9" t="str">
        <f t="shared" si="5"/>
        <v>COC</v>
      </c>
      <c r="T16" s="9" t="str">
        <f t="shared" si="6"/>
        <v>John Mohammed</v>
      </c>
      <c r="U16" t="str">
        <f t="shared" si="7"/>
        <v>April</v>
      </c>
    </row>
    <row r="17" spans="1:26" ht="14.25" customHeight="1" x14ac:dyDescent="0.25">
      <c r="A17" s="10">
        <v>16</v>
      </c>
      <c r="B17" s="11" t="s">
        <v>70</v>
      </c>
      <c r="C17" s="11" t="s">
        <v>71</v>
      </c>
      <c r="D17" s="11" t="s">
        <v>52</v>
      </c>
      <c r="E17" s="11" t="s">
        <v>58</v>
      </c>
      <c r="F17" s="12">
        <v>0.8</v>
      </c>
      <c r="G17" s="13">
        <v>45337</v>
      </c>
      <c r="H17" s="13">
        <v>45357</v>
      </c>
      <c r="I17" s="13">
        <v>45452</v>
      </c>
      <c r="J17" s="13">
        <v>45446</v>
      </c>
      <c r="K17" s="14">
        <v>1720</v>
      </c>
      <c r="L17" s="11" t="s">
        <v>35</v>
      </c>
      <c r="M17" s="14">
        <v>42000</v>
      </c>
      <c r="N17" s="9" t="str">
        <f t="shared" si="0"/>
        <v>Small holder</v>
      </c>
      <c r="O17" s="9" t="str">
        <f t="shared" si="1"/>
        <v>On Schedule</v>
      </c>
      <c r="P17" s="9" t="str">
        <f t="shared" si="2"/>
        <v>Not eligible</v>
      </c>
      <c r="Q17" s="9">
        <f t="shared" si="3"/>
        <v>89</v>
      </c>
      <c r="R17" s="9" t="str">
        <f t="shared" si="4"/>
        <v>SE</v>
      </c>
      <c r="S17" s="9" t="str">
        <f t="shared" si="5"/>
        <v>MAZ</v>
      </c>
      <c r="T17" s="9" t="str">
        <f t="shared" si="6"/>
        <v>Obinna Ibe</v>
      </c>
      <c r="U17" t="str">
        <f t="shared" si="7"/>
        <v>June</v>
      </c>
      <c r="V17" t="s">
        <v>72</v>
      </c>
    </row>
    <row r="18" spans="1:26" ht="14.25" customHeight="1" x14ac:dyDescent="0.25">
      <c r="A18" s="4">
        <v>17</v>
      </c>
      <c r="B18" s="5" t="s">
        <v>73</v>
      </c>
      <c r="C18" s="5" t="s">
        <v>74</v>
      </c>
      <c r="D18" s="5" t="s">
        <v>23</v>
      </c>
      <c r="E18" s="5" t="s">
        <v>66</v>
      </c>
      <c r="F18" s="6">
        <v>18.7</v>
      </c>
      <c r="G18" s="7">
        <v>45482</v>
      </c>
      <c r="H18" s="7">
        <v>45502</v>
      </c>
      <c r="I18" s="7">
        <v>45597</v>
      </c>
      <c r="J18" s="7">
        <v>45588</v>
      </c>
      <c r="K18" s="8">
        <v>16600</v>
      </c>
      <c r="L18" s="5" t="s">
        <v>30</v>
      </c>
      <c r="M18" s="8">
        <v>780000</v>
      </c>
      <c r="N18" s="9" t="str">
        <f t="shared" si="0"/>
        <v>Commercial</v>
      </c>
      <c r="O18" s="9" t="str">
        <f t="shared" si="1"/>
        <v>On Schedule</v>
      </c>
      <c r="P18" s="9" t="str">
        <f t="shared" si="2"/>
        <v>Not eligible</v>
      </c>
      <c r="Q18" s="9">
        <f t="shared" si="3"/>
        <v>86</v>
      </c>
      <c r="R18" s="9" t="str">
        <f t="shared" si="4"/>
        <v>SS</v>
      </c>
      <c r="S18" s="9" t="str">
        <f t="shared" si="5"/>
        <v>MIL</v>
      </c>
      <c r="T18" s="9" t="str">
        <f t="shared" si="6"/>
        <v>Uche Abubakar</v>
      </c>
      <c r="U18" t="str">
        <f t="shared" si="7"/>
        <v>October</v>
      </c>
      <c r="V18" t="s">
        <v>75</v>
      </c>
      <c r="W18">
        <f t="shared" ref="W18:W25" si="8">SUMIF($E$2:$E$201,V18,$K$2:$K$201)</f>
        <v>424510</v>
      </c>
      <c r="Y18" t="s">
        <v>76</v>
      </c>
      <c r="Z18">
        <f t="shared" ref="Z18:Z23" si="9">COUNTIF($D$2:$D$201,Y18)</f>
        <v>22</v>
      </c>
    </row>
    <row r="19" spans="1:26" ht="14.25" customHeight="1" x14ac:dyDescent="0.25">
      <c r="A19" s="10">
        <v>18</v>
      </c>
      <c r="B19" s="11" t="s">
        <v>77</v>
      </c>
      <c r="C19" s="11" t="s">
        <v>78</v>
      </c>
      <c r="D19" s="11" t="s">
        <v>52</v>
      </c>
      <c r="E19" s="11" t="s">
        <v>24</v>
      </c>
      <c r="F19" s="12">
        <v>1.7</v>
      </c>
      <c r="G19" s="13">
        <v>45340</v>
      </c>
      <c r="H19" s="13">
        <v>45375</v>
      </c>
      <c r="I19" s="13">
        <v>45525</v>
      </c>
      <c r="J19" s="13">
        <v>45541</v>
      </c>
      <c r="K19" s="14">
        <v>5340</v>
      </c>
      <c r="L19" s="11" t="s">
        <v>25</v>
      </c>
      <c r="M19" s="14">
        <v>0</v>
      </c>
      <c r="N19" s="9" t="str">
        <f t="shared" si="0"/>
        <v>Small holder</v>
      </c>
      <c r="O19" s="9" t="str">
        <f t="shared" si="1"/>
        <v>Delayed</v>
      </c>
      <c r="P19" s="9" t="str">
        <f t="shared" si="2"/>
        <v>Not eligible</v>
      </c>
      <c r="Q19" s="9">
        <f t="shared" si="3"/>
        <v>166</v>
      </c>
      <c r="R19" s="9" t="str">
        <f t="shared" si="4"/>
        <v>SE</v>
      </c>
      <c r="S19" s="9" t="str">
        <f t="shared" si="5"/>
        <v>RIC</v>
      </c>
      <c r="T19" s="9" t="str">
        <f t="shared" si="6"/>
        <v>Rasheed Sani</v>
      </c>
      <c r="U19" t="str">
        <f t="shared" si="7"/>
        <v>September</v>
      </c>
      <c r="V19" t="s">
        <v>79</v>
      </c>
      <c r="W19">
        <f t="shared" si="8"/>
        <v>146330</v>
      </c>
      <c r="Y19" t="s">
        <v>28</v>
      </c>
      <c r="Z19">
        <f t="shared" si="9"/>
        <v>27</v>
      </c>
    </row>
    <row r="20" spans="1:26" ht="14.25" customHeight="1" x14ac:dyDescent="0.25">
      <c r="A20" s="4">
        <v>19</v>
      </c>
      <c r="B20" s="5" t="s">
        <v>80</v>
      </c>
      <c r="C20" s="5" t="s">
        <v>81</v>
      </c>
      <c r="D20" s="5" t="s">
        <v>23</v>
      </c>
      <c r="E20" s="5" t="s">
        <v>34</v>
      </c>
      <c r="F20" s="6">
        <v>3.9</v>
      </c>
      <c r="G20" s="7">
        <v>45332</v>
      </c>
      <c r="H20" s="7">
        <v>45370</v>
      </c>
      <c r="I20" s="7">
        <v>45708</v>
      </c>
      <c r="J20" s="7">
        <v>45713</v>
      </c>
      <c r="K20" s="8">
        <v>1380</v>
      </c>
      <c r="L20" s="5" t="s">
        <v>35</v>
      </c>
      <c r="M20" s="8">
        <v>168000</v>
      </c>
      <c r="N20" s="9" t="str">
        <f t="shared" si="0"/>
        <v>Medium scale</v>
      </c>
      <c r="O20" s="9" t="str">
        <f t="shared" si="1"/>
        <v>Delayed</v>
      </c>
      <c r="P20" s="9" t="str">
        <f t="shared" si="2"/>
        <v>Not eligible</v>
      </c>
      <c r="Q20" s="9">
        <f t="shared" si="3"/>
        <v>343</v>
      </c>
      <c r="R20" s="9" t="str">
        <f t="shared" si="4"/>
        <v>SS</v>
      </c>
      <c r="S20" s="9" t="str">
        <f t="shared" si="5"/>
        <v>COC</v>
      </c>
      <c r="T20" s="9" t="str">
        <f t="shared" si="6"/>
        <v>Umar Ogundele</v>
      </c>
      <c r="U20" t="str">
        <f t="shared" si="7"/>
        <v>February</v>
      </c>
      <c r="V20" t="s">
        <v>82</v>
      </c>
      <c r="W20">
        <f t="shared" si="8"/>
        <v>74560</v>
      </c>
      <c r="Y20" t="s">
        <v>83</v>
      </c>
      <c r="Z20">
        <f t="shared" si="9"/>
        <v>41</v>
      </c>
    </row>
    <row r="21" spans="1:26" ht="14.25" customHeight="1" x14ac:dyDescent="0.25">
      <c r="A21" s="10">
        <v>20</v>
      </c>
      <c r="B21" s="11" t="s">
        <v>84</v>
      </c>
      <c r="C21" s="11" t="s">
        <v>85</v>
      </c>
      <c r="D21" s="11" t="s">
        <v>52</v>
      </c>
      <c r="E21" s="11" t="s">
        <v>46</v>
      </c>
      <c r="F21" s="12">
        <v>0.6</v>
      </c>
      <c r="G21" s="13">
        <v>45177</v>
      </c>
      <c r="H21" s="13">
        <v>45276</v>
      </c>
      <c r="I21" s="13">
        <v>45465</v>
      </c>
      <c r="J21" s="13">
        <v>45457</v>
      </c>
      <c r="K21" s="14">
        <v>5390</v>
      </c>
      <c r="L21" s="11" t="s">
        <v>35</v>
      </c>
      <c r="M21" s="14">
        <v>36000</v>
      </c>
      <c r="N21" s="9" t="str">
        <f t="shared" si="0"/>
        <v>Small holder</v>
      </c>
      <c r="O21" s="9" t="str">
        <f t="shared" si="1"/>
        <v>On Schedule</v>
      </c>
      <c r="P21" s="9" t="str">
        <f t="shared" si="2"/>
        <v>Not eligible</v>
      </c>
      <c r="Q21" s="9">
        <f t="shared" si="3"/>
        <v>181</v>
      </c>
      <c r="R21" s="9" t="str">
        <f t="shared" si="4"/>
        <v>SE</v>
      </c>
      <c r="S21" s="9" t="str">
        <f t="shared" si="5"/>
        <v>YAM</v>
      </c>
      <c r="T21" s="9" t="str">
        <f t="shared" si="6"/>
        <v>Ekene Ogundele</v>
      </c>
      <c r="U21" t="str">
        <f t="shared" si="7"/>
        <v>June</v>
      </c>
      <c r="V21" t="s">
        <v>86</v>
      </c>
      <c r="W21">
        <f t="shared" si="8"/>
        <v>873780</v>
      </c>
      <c r="Y21" t="s">
        <v>87</v>
      </c>
      <c r="Z21">
        <f t="shared" si="9"/>
        <v>43</v>
      </c>
    </row>
    <row r="22" spans="1:26" ht="14.25" customHeight="1" x14ac:dyDescent="0.25">
      <c r="A22" s="4">
        <v>21</v>
      </c>
      <c r="B22" s="5" t="s">
        <v>88</v>
      </c>
      <c r="C22" s="5" t="s">
        <v>89</v>
      </c>
      <c r="D22" s="5" t="s">
        <v>33</v>
      </c>
      <c r="E22" s="5" t="s">
        <v>53</v>
      </c>
      <c r="F22" s="6">
        <v>0.7</v>
      </c>
      <c r="G22" s="7">
        <v>45036</v>
      </c>
      <c r="H22" s="7">
        <v>45182</v>
      </c>
      <c r="I22" s="7">
        <v>45286</v>
      </c>
      <c r="J22" s="7">
        <v>45277</v>
      </c>
      <c r="K22" s="8">
        <v>690</v>
      </c>
      <c r="L22" s="5" t="s">
        <v>25</v>
      </c>
      <c r="M22" s="8">
        <v>46000</v>
      </c>
      <c r="N22" s="9" t="str">
        <f t="shared" si="0"/>
        <v>Small holder</v>
      </c>
      <c r="O22" s="9" t="str">
        <f t="shared" si="1"/>
        <v>On Schedule</v>
      </c>
      <c r="P22" s="9" t="str">
        <f t="shared" si="2"/>
        <v>Not eligible</v>
      </c>
      <c r="Q22" s="9">
        <f t="shared" si="3"/>
        <v>95</v>
      </c>
      <c r="R22" s="9" t="str">
        <f t="shared" si="4"/>
        <v>NW</v>
      </c>
      <c r="S22" s="9" t="str">
        <f t="shared" si="5"/>
        <v>SOR</v>
      </c>
      <c r="T22" s="9" t="str">
        <f t="shared" si="6"/>
        <v>Umar Mohammed</v>
      </c>
      <c r="U22" t="str">
        <f t="shared" si="7"/>
        <v>December</v>
      </c>
      <c r="V22" t="s">
        <v>90</v>
      </c>
      <c r="W22">
        <f t="shared" si="8"/>
        <v>292230</v>
      </c>
      <c r="Y22" t="s">
        <v>61</v>
      </c>
      <c r="Z22">
        <f t="shared" si="9"/>
        <v>36</v>
      </c>
    </row>
    <row r="23" spans="1:26" ht="14.25" customHeight="1" x14ac:dyDescent="0.25">
      <c r="A23" s="10">
        <v>22</v>
      </c>
      <c r="B23" s="11" t="s">
        <v>91</v>
      </c>
      <c r="C23" s="11" t="s">
        <v>92</v>
      </c>
      <c r="D23" s="11" t="s">
        <v>52</v>
      </c>
      <c r="E23" s="11" t="s">
        <v>66</v>
      </c>
      <c r="F23" s="12">
        <v>0.9</v>
      </c>
      <c r="G23" s="13">
        <v>44930</v>
      </c>
      <c r="H23" s="13">
        <v>45020</v>
      </c>
      <c r="I23" s="13">
        <v>45109</v>
      </c>
      <c r="J23" s="13">
        <v>45126</v>
      </c>
      <c r="K23" s="14">
        <v>650</v>
      </c>
      <c r="L23" s="11" t="s">
        <v>25</v>
      </c>
      <c r="M23" s="14">
        <v>51000</v>
      </c>
      <c r="N23" s="9" t="str">
        <f t="shared" si="0"/>
        <v>Small holder</v>
      </c>
      <c r="O23" s="9" t="str">
        <f t="shared" si="1"/>
        <v>Delayed</v>
      </c>
      <c r="P23" s="9" t="str">
        <f t="shared" si="2"/>
        <v>Not eligible</v>
      </c>
      <c r="Q23" s="9">
        <f t="shared" si="3"/>
        <v>106</v>
      </c>
      <c r="R23" s="9" t="str">
        <f t="shared" si="4"/>
        <v>SE</v>
      </c>
      <c r="S23" s="9" t="str">
        <f t="shared" si="5"/>
        <v>MIL</v>
      </c>
      <c r="T23" s="9" t="str">
        <f t="shared" si="6"/>
        <v>Folake Nwosu</v>
      </c>
      <c r="U23" t="str">
        <f t="shared" si="7"/>
        <v>July</v>
      </c>
      <c r="V23" t="s">
        <v>93</v>
      </c>
      <c r="W23">
        <f t="shared" si="8"/>
        <v>85100</v>
      </c>
      <c r="Y23" t="s">
        <v>94</v>
      </c>
      <c r="Z23">
        <f t="shared" si="9"/>
        <v>31</v>
      </c>
    </row>
    <row r="24" spans="1:26" ht="14.25" customHeight="1" x14ac:dyDescent="0.25">
      <c r="A24" s="4">
        <v>23</v>
      </c>
      <c r="B24" s="5" t="s">
        <v>95</v>
      </c>
      <c r="C24" s="5" t="s">
        <v>96</v>
      </c>
      <c r="D24" s="5" t="s">
        <v>33</v>
      </c>
      <c r="E24" s="5" t="s">
        <v>24</v>
      </c>
      <c r="F24" s="6">
        <v>6.6</v>
      </c>
      <c r="G24" s="7">
        <v>45078</v>
      </c>
      <c r="H24" s="7">
        <v>45193</v>
      </c>
      <c r="I24" s="7">
        <v>45317</v>
      </c>
      <c r="J24" s="7">
        <v>45312</v>
      </c>
      <c r="K24" s="8">
        <v>24540</v>
      </c>
      <c r="L24" s="5" t="s">
        <v>35</v>
      </c>
      <c r="M24" s="8">
        <v>442000</v>
      </c>
      <c r="N24" s="9" t="str">
        <f t="shared" si="0"/>
        <v>Medium scale</v>
      </c>
      <c r="O24" s="9" t="str">
        <f t="shared" si="1"/>
        <v>On Schedule</v>
      </c>
      <c r="P24" s="9" t="str">
        <f t="shared" si="2"/>
        <v>Not eligible</v>
      </c>
      <c r="Q24" s="9">
        <f t="shared" si="3"/>
        <v>119</v>
      </c>
      <c r="R24" s="9" t="str">
        <f t="shared" si="4"/>
        <v>NW</v>
      </c>
      <c r="S24" s="9" t="str">
        <f t="shared" si="5"/>
        <v>RIC</v>
      </c>
      <c r="T24" s="9" t="str">
        <f t="shared" si="6"/>
        <v>Aminu Chukwu</v>
      </c>
      <c r="U24" t="str">
        <f t="shared" si="7"/>
        <v>January</v>
      </c>
      <c r="V24" t="s">
        <v>97</v>
      </c>
      <c r="W24">
        <f t="shared" si="8"/>
        <v>161470</v>
      </c>
    </row>
    <row r="25" spans="1:26" ht="14.25" customHeight="1" x14ac:dyDescent="0.25">
      <c r="A25" s="10">
        <v>24</v>
      </c>
      <c r="B25" s="11" t="s">
        <v>98</v>
      </c>
      <c r="C25" s="11" t="s">
        <v>99</v>
      </c>
      <c r="D25" s="11" t="s">
        <v>28</v>
      </c>
      <c r="E25" s="11" t="s">
        <v>46</v>
      </c>
      <c r="F25" s="12">
        <v>8.9</v>
      </c>
      <c r="G25" s="13">
        <v>45562</v>
      </c>
      <c r="H25" s="13">
        <v>45606</v>
      </c>
      <c r="I25" s="13">
        <v>45815</v>
      </c>
      <c r="J25" s="13">
        <v>45826</v>
      </c>
      <c r="K25" s="14">
        <v>91540</v>
      </c>
      <c r="L25" s="11" t="s">
        <v>30</v>
      </c>
      <c r="M25" s="14">
        <v>363000</v>
      </c>
      <c r="N25" s="9" t="str">
        <f t="shared" si="0"/>
        <v>Medium scale</v>
      </c>
      <c r="O25" s="9" t="str">
        <f t="shared" si="1"/>
        <v>Delayed</v>
      </c>
      <c r="P25" s="9" t="str">
        <f t="shared" si="2"/>
        <v>Not eligible</v>
      </c>
      <c r="Q25" s="9">
        <f t="shared" si="3"/>
        <v>220</v>
      </c>
      <c r="R25" s="9" t="str">
        <f t="shared" si="4"/>
        <v>NE</v>
      </c>
      <c r="S25" s="9" t="str">
        <f t="shared" si="5"/>
        <v>YAM</v>
      </c>
      <c r="T25" s="9" t="str">
        <f t="shared" si="6"/>
        <v>Adesuwa Mohammed</v>
      </c>
      <c r="U25" t="str">
        <f t="shared" si="7"/>
        <v>June</v>
      </c>
      <c r="V25" t="s">
        <v>100</v>
      </c>
      <c r="W25">
        <f t="shared" si="8"/>
        <v>889900</v>
      </c>
    </row>
    <row r="26" spans="1:26" ht="14.25" customHeight="1" x14ac:dyDescent="0.25">
      <c r="A26" s="4">
        <v>25</v>
      </c>
      <c r="B26" s="5" t="s">
        <v>101</v>
      </c>
      <c r="C26" s="5" t="s">
        <v>102</v>
      </c>
      <c r="D26" s="5" t="s">
        <v>23</v>
      </c>
      <c r="E26" s="5" t="s">
        <v>34</v>
      </c>
      <c r="F26" s="6">
        <v>8.4</v>
      </c>
      <c r="G26" s="7">
        <v>45200</v>
      </c>
      <c r="H26" s="7">
        <v>45245</v>
      </c>
      <c r="I26" s="7">
        <v>45558</v>
      </c>
      <c r="J26" s="7">
        <v>45558</v>
      </c>
      <c r="K26" s="8">
        <v>5100</v>
      </c>
      <c r="L26" s="5" t="s">
        <v>25</v>
      </c>
      <c r="M26" s="8">
        <v>452000</v>
      </c>
      <c r="N26" s="9" t="str">
        <f t="shared" si="0"/>
        <v>Medium scale</v>
      </c>
      <c r="O26" s="9" t="str">
        <f t="shared" si="1"/>
        <v>On Schedule</v>
      </c>
      <c r="P26" s="9" t="str">
        <f t="shared" si="2"/>
        <v>Loan eligible</v>
      </c>
      <c r="Q26" s="9">
        <f t="shared" si="3"/>
        <v>313</v>
      </c>
      <c r="R26" s="9" t="str">
        <f t="shared" si="4"/>
        <v>SS</v>
      </c>
      <c r="S26" s="9" t="str">
        <f t="shared" si="5"/>
        <v>COC</v>
      </c>
      <c r="T26" s="9" t="str">
        <f t="shared" si="6"/>
        <v>Peter Uzoma</v>
      </c>
      <c r="U26" t="str">
        <f t="shared" si="7"/>
        <v>September</v>
      </c>
    </row>
    <row r="27" spans="1:26" ht="14.25" customHeight="1" x14ac:dyDescent="0.25">
      <c r="A27" s="10">
        <v>26</v>
      </c>
      <c r="B27" s="11" t="s">
        <v>103</v>
      </c>
      <c r="C27" s="11" t="s">
        <v>104</v>
      </c>
      <c r="D27" s="11" t="s">
        <v>76</v>
      </c>
      <c r="E27" s="11" t="s">
        <v>46</v>
      </c>
      <c r="F27" s="12">
        <v>0.9</v>
      </c>
      <c r="G27" s="13">
        <v>44998</v>
      </c>
      <c r="H27" s="13">
        <v>45074</v>
      </c>
      <c r="I27" s="13">
        <v>45265</v>
      </c>
      <c r="J27" s="13">
        <v>45291</v>
      </c>
      <c r="K27" s="14">
        <v>7980</v>
      </c>
      <c r="L27" s="11" t="s">
        <v>30</v>
      </c>
      <c r="M27" s="14">
        <v>37000</v>
      </c>
      <c r="N27" s="9" t="str">
        <f t="shared" si="0"/>
        <v>Small holder</v>
      </c>
      <c r="O27" s="9" t="str">
        <f t="shared" si="1"/>
        <v>Delayed</v>
      </c>
      <c r="P27" s="9" t="str">
        <f t="shared" si="2"/>
        <v>Not eligible</v>
      </c>
      <c r="Q27" s="9">
        <f t="shared" si="3"/>
        <v>217</v>
      </c>
      <c r="R27" s="9" t="str">
        <f t="shared" si="4"/>
        <v>NC</v>
      </c>
      <c r="S27" s="9" t="str">
        <f t="shared" si="5"/>
        <v>YAM</v>
      </c>
      <c r="T27" s="9" t="str">
        <f t="shared" si="6"/>
        <v>Yetunde Balogun</v>
      </c>
      <c r="U27" t="str">
        <f t="shared" si="7"/>
        <v>December</v>
      </c>
      <c r="W27" t="s">
        <v>105</v>
      </c>
    </row>
    <row r="28" spans="1:26" ht="14.25" customHeight="1" x14ac:dyDescent="0.25">
      <c r="A28" s="4">
        <v>27</v>
      </c>
      <c r="B28" s="5" t="s">
        <v>106</v>
      </c>
      <c r="C28" s="5" t="s">
        <v>107</v>
      </c>
      <c r="D28" s="5" t="s">
        <v>76</v>
      </c>
      <c r="E28" s="5" t="s">
        <v>49</v>
      </c>
      <c r="F28" s="6">
        <v>1.6</v>
      </c>
      <c r="G28" s="7">
        <v>45373</v>
      </c>
      <c r="H28" s="7">
        <v>45533</v>
      </c>
      <c r="I28" s="7">
        <v>45835</v>
      </c>
      <c r="J28" s="7">
        <v>45826</v>
      </c>
      <c r="K28" s="8">
        <v>13020</v>
      </c>
      <c r="L28" s="5" t="s">
        <v>25</v>
      </c>
      <c r="M28" s="8">
        <v>89000</v>
      </c>
      <c r="N28" s="9" t="str">
        <f t="shared" si="0"/>
        <v>Small holder</v>
      </c>
      <c r="O28" s="9" t="str">
        <f t="shared" si="1"/>
        <v>On Schedule</v>
      </c>
      <c r="P28" s="9" t="str">
        <f t="shared" si="2"/>
        <v>Not eligible</v>
      </c>
      <c r="Q28" s="9">
        <f t="shared" si="3"/>
        <v>293</v>
      </c>
      <c r="R28" s="9" t="str">
        <f t="shared" si="4"/>
        <v>NC</v>
      </c>
      <c r="S28" s="9" t="str">
        <f t="shared" si="5"/>
        <v>CAS</v>
      </c>
      <c r="T28" s="9" t="str">
        <f t="shared" si="6"/>
        <v>Damilola Ogundele</v>
      </c>
      <c r="U28" t="str">
        <f t="shared" si="7"/>
        <v>June</v>
      </c>
      <c r="W28" t="s">
        <v>108</v>
      </c>
    </row>
    <row r="29" spans="1:26" ht="14.25" customHeight="1" x14ac:dyDescent="0.25">
      <c r="A29" s="10">
        <v>28</v>
      </c>
      <c r="B29" s="11" t="s">
        <v>109</v>
      </c>
      <c r="C29" s="11" t="s">
        <v>110</v>
      </c>
      <c r="D29" s="11" t="s">
        <v>52</v>
      </c>
      <c r="E29" s="11" t="s">
        <v>46</v>
      </c>
      <c r="F29" s="12">
        <v>4.5999999999999996</v>
      </c>
      <c r="G29" s="13">
        <v>45248</v>
      </c>
      <c r="H29" s="13">
        <v>45422</v>
      </c>
      <c r="I29" s="13">
        <v>45629</v>
      </c>
      <c r="J29" s="13">
        <v>45625</v>
      </c>
      <c r="K29" s="14">
        <v>36960</v>
      </c>
      <c r="L29" s="11" t="s">
        <v>35</v>
      </c>
      <c r="M29" s="14">
        <v>280000</v>
      </c>
      <c r="N29" s="9" t="str">
        <f t="shared" si="0"/>
        <v>Medium scale</v>
      </c>
      <c r="O29" s="9" t="str">
        <f t="shared" si="1"/>
        <v>On Schedule</v>
      </c>
      <c r="P29" s="9" t="str">
        <f t="shared" si="2"/>
        <v>Not eligible</v>
      </c>
      <c r="Q29" s="9">
        <f t="shared" si="3"/>
        <v>203</v>
      </c>
      <c r="R29" s="9" t="str">
        <f t="shared" si="4"/>
        <v>SE</v>
      </c>
      <c r="S29" s="9" t="str">
        <f t="shared" si="5"/>
        <v>YAM</v>
      </c>
      <c r="T29" s="9" t="str">
        <f t="shared" si="6"/>
        <v>Ibrahim Igwe</v>
      </c>
      <c r="U29" t="str">
        <f t="shared" si="7"/>
        <v>November</v>
      </c>
      <c r="W29">
        <f>MAX(W18:W25)</f>
        <v>889900</v>
      </c>
      <c r="X29" t="s">
        <v>111</v>
      </c>
    </row>
    <row r="30" spans="1:26" ht="14.25" customHeight="1" x14ac:dyDescent="0.25">
      <c r="A30" s="4">
        <v>29</v>
      </c>
      <c r="B30" s="5" t="s">
        <v>112</v>
      </c>
      <c r="C30" s="5" t="s">
        <v>113</v>
      </c>
      <c r="D30" s="5" t="s">
        <v>52</v>
      </c>
      <c r="E30" s="5" t="s">
        <v>49</v>
      </c>
      <c r="F30" s="6">
        <v>1.5</v>
      </c>
      <c r="G30" s="7">
        <v>45105</v>
      </c>
      <c r="H30" s="7">
        <v>45267</v>
      </c>
      <c r="I30" s="7">
        <v>45573</v>
      </c>
      <c r="J30" s="7">
        <v>45565</v>
      </c>
      <c r="K30" s="8">
        <v>18000</v>
      </c>
      <c r="L30" s="5" t="s">
        <v>25</v>
      </c>
      <c r="M30" s="8">
        <v>95000</v>
      </c>
      <c r="N30" s="9" t="str">
        <f t="shared" si="0"/>
        <v>Small holder</v>
      </c>
      <c r="O30" s="9" t="str">
        <f t="shared" si="1"/>
        <v>On Schedule</v>
      </c>
      <c r="P30" s="9" t="str">
        <f t="shared" si="2"/>
        <v>Not eligible</v>
      </c>
      <c r="Q30" s="9">
        <f t="shared" si="3"/>
        <v>298</v>
      </c>
      <c r="R30" s="9" t="str">
        <f t="shared" si="4"/>
        <v>SE</v>
      </c>
      <c r="S30" s="9" t="str">
        <f t="shared" si="5"/>
        <v>CAS</v>
      </c>
      <c r="T30" s="9" t="str">
        <f t="shared" si="6"/>
        <v>Funke Uzoma</v>
      </c>
      <c r="U30" t="str">
        <f t="shared" si="7"/>
        <v>September</v>
      </c>
      <c r="W30">
        <f>MIN(W18:W25)</f>
        <v>74560</v>
      </c>
      <c r="X30" t="s">
        <v>114</v>
      </c>
    </row>
    <row r="31" spans="1:26" ht="14.25" customHeight="1" x14ac:dyDescent="0.25">
      <c r="A31" s="10">
        <v>30</v>
      </c>
      <c r="B31" s="11" t="s">
        <v>115</v>
      </c>
      <c r="C31" s="11" t="s">
        <v>116</v>
      </c>
      <c r="D31" s="11" t="s">
        <v>52</v>
      </c>
      <c r="E31" s="11" t="s">
        <v>34</v>
      </c>
      <c r="F31" s="12">
        <v>1.2</v>
      </c>
      <c r="G31" s="13">
        <v>45742</v>
      </c>
      <c r="H31" s="13">
        <v>45790</v>
      </c>
      <c r="I31" s="13">
        <v>46100</v>
      </c>
      <c r="J31" s="13">
        <v>46090</v>
      </c>
      <c r="K31" s="14">
        <v>650</v>
      </c>
      <c r="L31" s="11" t="s">
        <v>25</v>
      </c>
      <c r="M31" s="14">
        <v>75000</v>
      </c>
      <c r="N31" s="9" t="str">
        <f t="shared" si="0"/>
        <v>Small holder</v>
      </c>
      <c r="O31" s="9" t="str">
        <f t="shared" si="1"/>
        <v>On Schedule</v>
      </c>
      <c r="P31" s="9" t="str">
        <f t="shared" si="2"/>
        <v>Not eligible</v>
      </c>
      <c r="Q31" s="9">
        <f t="shared" si="3"/>
        <v>300</v>
      </c>
      <c r="R31" s="9" t="str">
        <f t="shared" si="4"/>
        <v>SE</v>
      </c>
      <c r="S31" s="9" t="str">
        <f t="shared" si="5"/>
        <v>COC</v>
      </c>
      <c r="T31" s="9" t="str">
        <f t="shared" si="6"/>
        <v>Suleiman Obi</v>
      </c>
      <c r="U31" t="str">
        <f t="shared" si="7"/>
        <v>March</v>
      </c>
    </row>
    <row r="32" spans="1:26" ht="14.25" customHeight="1" x14ac:dyDescent="0.25">
      <c r="A32" s="4">
        <v>31</v>
      </c>
      <c r="B32" s="5" t="s">
        <v>117</v>
      </c>
      <c r="C32" s="5" t="s">
        <v>118</v>
      </c>
      <c r="D32" s="5" t="s">
        <v>23</v>
      </c>
      <c r="E32" s="5" t="s">
        <v>53</v>
      </c>
      <c r="F32" s="6">
        <v>1.9</v>
      </c>
      <c r="G32" s="7">
        <v>45552</v>
      </c>
      <c r="H32" s="7">
        <v>45575</v>
      </c>
      <c r="I32" s="7">
        <v>45689</v>
      </c>
      <c r="J32" s="7">
        <v>45679</v>
      </c>
      <c r="K32" s="8">
        <v>2380</v>
      </c>
      <c r="L32" s="5" t="s">
        <v>35</v>
      </c>
      <c r="M32" s="8">
        <v>99000</v>
      </c>
      <c r="N32" s="9" t="str">
        <f t="shared" si="0"/>
        <v>Small holder</v>
      </c>
      <c r="O32" s="9" t="str">
        <f t="shared" si="1"/>
        <v>On Schedule</v>
      </c>
      <c r="P32" s="9" t="str">
        <f t="shared" si="2"/>
        <v>Not eligible</v>
      </c>
      <c r="Q32" s="9">
        <f t="shared" si="3"/>
        <v>104</v>
      </c>
      <c r="R32" s="9" t="str">
        <f t="shared" si="4"/>
        <v>SS</v>
      </c>
      <c r="S32" s="9" t="str">
        <f t="shared" si="5"/>
        <v>SOR</v>
      </c>
      <c r="T32" s="9" t="str">
        <f t="shared" si="6"/>
        <v>Yetunde Abubakar</v>
      </c>
      <c r="U32" t="str">
        <f t="shared" si="7"/>
        <v>January</v>
      </c>
    </row>
    <row r="33" spans="1:21" ht="14.25" customHeight="1" x14ac:dyDescent="0.25">
      <c r="A33" s="10">
        <v>32</v>
      </c>
      <c r="B33" s="11" t="s">
        <v>119</v>
      </c>
      <c r="C33" s="11" t="s">
        <v>120</v>
      </c>
      <c r="D33" s="11" t="s">
        <v>28</v>
      </c>
      <c r="E33" s="11" t="s">
        <v>58</v>
      </c>
      <c r="F33" s="12">
        <v>1.6</v>
      </c>
      <c r="G33" s="13">
        <v>45639</v>
      </c>
      <c r="H33" s="13">
        <v>45776</v>
      </c>
      <c r="I33" s="13">
        <v>45880</v>
      </c>
      <c r="J33" s="13">
        <v>45877</v>
      </c>
      <c r="K33" s="14">
        <v>5000</v>
      </c>
      <c r="L33" s="11" t="s">
        <v>25</v>
      </c>
      <c r="M33" s="14">
        <v>0</v>
      </c>
      <c r="N33" s="9" t="str">
        <f t="shared" si="0"/>
        <v>Small holder</v>
      </c>
      <c r="O33" s="9" t="str">
        <f t="shared" si="1"/>
        <v>On Schedule</v>
      </c>
      <c r="P33" s="9" t="str">
        <f t="shared" si="2"/>
        <v>Not eligible</v>
      </c>
      <c r="Q33" s="9">
        <f t="shared" si="3"/>
        <v>101</v>
      </c>
      <c r="R33" s="9" t="str">
        <f t="shared" si="4"/>
        <v>NE</v>
      </c>
      <c r="S33" s="9" t="str">
        <f t="shared" si="5"/>
        <v>MAZ</v>
      </c>
      <c r="T33" s="9" t="str">
        <f t="shared" si="6"/>
        <v>Salamatu Mohammed</v>
      </c>
      <c r="U33" t="str">
        <f t="shared" si="7"/>
        <v>August</v>
      </c>
    </row>
    <row r="34" spans="1:21" ht="14.25" customHeight="1" x14ac:dyDescent="0.25">
      <c r="A34" s="4">
        <v>33</v>
      </c>
      <c r="B34" s="5" t="s">
        <v>121</v>
      </c>
      <c r="C34" s="5" t="s">
        <v>122</v>
      </c>
      <c r="D34" s="5" t="s">
        <v>61</v>
      </c>
      <c r="E34" s="5" t="s">
        <v>34</v>
      </c>
      <c r="F34" s="6">
        <v>6</v>
      </c>
      <c r="G34" s="7">
        <v>45777</v>
      </c>
      <c r="H34" s="7">
        <v>45922</v>
      </c>
      <c r="I34" s="7">
        <v>46279</v>
      </c>
      <c r="J34" s="7">
        <v>46310</v>
      </c>
      <c r="K34" s="8">
        <v>2910</v>
      </c>
      <c r="L34" s="5" t="s">
        <v>35</v>
      </c>
      <c r="M34" s="8">
        <v>290000</v>
      </c>
      <c r="N34" s="9" t="str">
        <f t="shared" si="0"/>
        <v>Medium scale</v>
      </c>
      <c r="O34" s="9" t="str">
        <f t="shared" si="1"/>
        <v>Delayed</v>
      </c>
      <c r="P34" s="9" t="str">
        <f t="shared" si="2"/>
        <v>Not eligible</v>
      </c>
      <c r="Q34" s="9">
        <f t="shared" si="3"/>
        <v>388</v>
      </c>
      <c r="R34" s="9" t="str">
        <f t="shared" si="4"/>
        <v>SW</v>
      </c>
      <c r="S34" s="9" t="str">
        <f t="shared" si="5"/>
        <v>COC</v>
      </c>
      <c r="T34" s="9" t="str">
        <f t="shared" si="6"/>
        <v>Victory Obi</v>
      </c>
      <c r="U34" t="str">
        <f t="shared" si="7"/>
        <v>October</v>
      </c>
    </row>
    <row r="35" spans="1:21" ht="14.25" customHeight="1" x14ac:dyDescent="0.25">
      <c r="A35" s="10">
        <v>34</v>
      </c>
      <c r="B35" s="11" t="s">
        <v>123</v>
      </c>
      <c r="C35" s="11" t="s">
        <v>124</v>
      </c>
      <c r="D35" s="11" t="s">
        <v>52</v>
      </c>
      <c r="E35" s="11" t="s">
        <v>66</v>
      </c>
      <c r="F35" s="12">
        <v>0.9</v>
      </c>
      <c r="G35" s="13">
        <v>45205</v>
      </c>
      <c r="H35" s="13">
        <v>45295</v>
      </c>
      <c r="I35" s="13">
        <v>45390</v>
      </c>
      <c r="J35" s="13">
        <v>45396</v>
      </c>
      <c r="K35" s="14">
        <v>630</v>
      </c>
      <c r="L35" s="11" t="s">
        <v>25</v>
      </c>
      <c r="M35" s="14">
        <v>55000</v>
      </c>
      <c r="N35" s="9" t="str">
        <f t="shared" si="0"/>
        <v>Small holder</v>
      </c>
      <c r="O35" s="9" t="str">
        <f t="shared" si="1"/>
        <v>Delayed</v>
      </c>
      <c r="P35" s="9" t="str">
        <f t="shared" si="2"/>
        <v>Not eligible</v>
      </c>
      <c r="Q35" s="9">
        <f t="shared" si="3"/>
        <v>101</v>
      </c>
      <c r="R35" s="9" t="str">
        <f t="shared" si="4"/>
        <v>SE</v>
      </c>
      <c r="S35" s="9" t="str">
        <f t="shared" si="5"/>
        <v>MIL</v>
      </c>
      <c r="T35" s="9" t="str">
        <f t="shared" si="6"/>
        <v>Babajide Ibe</v>
      </c>
      <c r="U35" t="str">
        <f t="shared" si="7"/>
        <v>April</v>
      </c>
    </row>
    <row r="36" spans="1:21" ht="14.25" customHeight="1" x14ac:dyDescent="0.25">
      <c r="A36" s="4">
        <v>35</v>
      </c>
      <c r="B36" s="5" t="s">
        <v>125</v>
      </c>
      <c r="C36" s="5" t="s">
        <v>126</v>
      </c>
      <c r="D36" s="5" t="s">
        <v>33</v>
      </c>
      <c r="E36" s="5" t="s">
        <v>29</v>
      </c>
      <c r="F36" s="6">
        <v>0.8</v>
      </c>
      <c r="G36" s="7">
        <v>45357</v>
      </c>
      <c r="H36" s="7">
        <v>45461</v>
      </c>
      <c r="I36" s="7">
        <v>45579</v>
      </c>
      <c r="J36" s="7">
        <v>45624</v>
      </c>
      <c r="K36" s="8">
        <v>570</v>
      </c>
      <c r="L36" s="5" t="s">
        <v>30</v>
      </c>
      <c r="M36" s="8">
        <v>43000</v>
      </c>
      <c r="N36" s="9" t="str">
        <f t="shared" si="0"/>
        <v>Small holder</v>
      </c>
      <c r="O36" s="9" t="str">
        <f t="shared" si="1"/>
        <v>Delayed</v>
      </c>
      <c r="P36" s="9" t="str">
        <f t="shared" si="2"/>
        <v>Not eligible</v>
      </c>
      <c r="Q36" s="9">
        <f t="shared" si="3"/>
        <v>163</v>
      </c>
      <c r="R36" s="9" t="str">
        <f t="shared" si="4"/>
        <v>NW</v>
      </c>
      <c r="S36" s="9" t="str">
        <f t="shared" si="5"/>
        <v>GRN</v>
      </c>
      <c r="T36" s="9" t="str">
        <f t="shared" si="6"/>
        <v>Abdullahi Aliyu</v>
      </c>
      <c r="U36" t="str">
        <f t="shared" si="7"/>
        <v>November</v>
      </c>
    </row>
    <row r="37" spans="1:21" ht="14.25" customHeight="1" x14ac:dyDescent="0.25">
      <c r="A37" s="10">
        <v>36</v>
      </c>
      <c r="B37" s="11" t="s">
        <v>127</v>
      </c>
      <c r="C37" s="11" t="s">
        <v>128</v>
      </c>
      <c r="D37" s="11" t="s">
        <v>76</v>
      </c>
      <c r="E37" s="11" t="s">
        <v>53</v>
      </c>
      <c r="F37" s="12">
        <v>16.3</v>
      </c>
      <c r="G37" s="13">
        <v>45692</v>
      </c>
      <c r="H37" s="13">
        <v>45836</v>
      </c>
      <c r="I37" s="13">
        <v>45961</v>
      </c>
      <c r="J37" s="13">
        <v>45976</v>
      </c>
      <c r="K37" s="14">
        <v>19420</v>
      </c>
      <c r="L37" s="11" t="s">
        <v>25</v>
      </c>
      <c r="M37" s="14">
        <v>842000</v>
      </c>
      <c r="N37" s="9" t="str">
        <f t="shared" si="0"/>
        <v>Commercial</v>
      </c>
      <c r="O37" s="9" t="str">
        <f t="shared" si="1"/>
        <v>Delayed</v>
      </c>
      <c r="P37" s="9" t="str">
        <f t="shared" si="2"/>
        <v>Loan eligible</v>
      </c>
      <c r="Q37" s="9">
        <f t="shared" si="3"/>
        <v>140</v>
      </c>
      <c r="R37" s="9" t="str">
        <f t="shared" si="4"/>
        <v>NC</v>
      </c>
      <c r="S37" s="9" t="str">
        <f t="shared" si="5"/>
        <v>SOR</v>
      </c>
      <c r="T37" s="9" t="str">
        <f t="shared" si="6"/>
        <v>Victory Anyanwu</v>
      </c>
      <c r="U37" t="str">
        <f t="shared" si="7"/>
        <v>November</v>
      </c>
    </row>
    <row r="38" spans="1:21" ht="14.25" customHeight="1" x14ac:dyDescent="0.25">
      <c r="A38" s="4">
        <v>37</v>
      </c>
      <c r="B38" s="5" t="s">
        <v>129</v>
      </c>
      <c r="C38" s="5" t="s">
        <v>130</v>
      </c>
      <c r="D38" s="5" t="s">
        <v>23</v>
      </c>
      <c r="E38" s="5" t="s">
        <v>29</v>
      </c>
      <c r="F38" s="6">
        <v>24.7</v>
      </c>
      <c r="G38" s="7">
        <v>45473</v>
      </c>
      <c r="H38" s="7">
        <v>45484</v>
      </c>
      <c r="I38" s="7">
        <v>45603</v>
      </c>
      <c r="J38" s="7">
        <v>45594</v>
      </c>
      <c r="K38" s="8">
        <v>27120</v>
      </c>
      <c r="L38" s="5" t="s">
        <v>25</v>
      </c>
      <c r="M38" s="8">
        <v>1630000</v>
      </c>
      <c r="N38" s="9" t="str">
        <f t="shared" si="0"/>
        <v>Commercial</v>
      </c>
      <c r="O38" s="9" t="str">
        <f t="shared" si="1"/>
        <v>On Schedule</v>
      </c>
      <c r="P38" s="9" t="str">
        <f t="shared" si="2"/>
        <v>Loan eligible</v>
      </c>
      <c r="Q38" s="9">
        <f t="shared" si="3"/>
        <v>110</v>
      </c>
      <c r="R38" s="9" t="str">
        <f t="shared" si="4"/>
        <v>SS</v>
      </c>
      <c r="S38" s="9" t="str">
        <f t="shared" si="5"/>
        <v>GRN</v>
      </c>
      <c r="T38" s="9" t="str">
        <f t="shared" si="6"/>
        <v>Grace Adamu</v>
      </c>
      <c r="U38" t="str">
        <f t="shared" si="7"/>
        <v>October</v>
      </c>
    </row>
    <row r="39" spans="1:21" ht="14.25" customHeight="1" x14ac:dyDescent="0.25">
      <c r="A39" s="10">
        <v>38</v>
      </c>
      <c r="B39" s="11" t="s">
        <v>131</v>
      </c>
      <c r="C39" s="11" t="s">
        <v>132</v>
      </c>
      <c r="D39" s="11" t="s">
        <v>28</v>
      </c>
      <c r="E39" s="11" t="s">
        <v>58</v>
      </c>
      <c r="F39" s="12">
        <v>1</v>
      </c>
      <c r="G39" s="13">
        <v>45827</v>
      </c>
      <c r="H39" s="13">
        <v>45929</v>
      </c>
      <c r="I39" s="13">
        <v>46027</v>
      </c>
      <c r="J39" s="13">
        <v>46054</v>
      </c>
      <c r="K39" s="14">
        <v>2130</v>
      </c>
      <c r="L39" s="11" t="s">
        <v>25</v>
      </c>
      <c r="M39" s="14">
        <v>0</v>
      </c>
      <c r="N39" s="9" t="str">
        <f t="shared" si="0"/>
        <v>Small holder</v>
      </c>
      <c r="O39" s="9" t="str">
        <f t="shared" si="1"/>
        <v>Delayed</v>
      </c>
      <c r="P39" s="9" t="str">
        <f t="shared" si="2"/>
        <v>Not eligible</v>
      </c>
      <c r="Q39" s="9">
        <f t="shared" si="3"/>
        <v>125</v>
      </c>
      <c r="R39" s="9" t="str">
        <f t="shared" si="4"/>
        <v>NE</v>
      </c>
      <c r="S39" s="9" t="str">
        <f t="shared" si="5"/>
        <v>MAZ</v>
      </c>
      <c r="T39" s="9" t="str">
        <f t="shared" si="6"/>
        <v>Folake Anyanwu</v>
      </c>
      <c r="U39" t="str">
        <f t="shared" si="7"/>
        <v>February</v>
      </c>
    </row>
    <row r="40" spans="1:21" ht="14.25" customHeight="1" x14ac:dyDescent="0.25">
      <c r="A40" s="4">
        <v>39</v>
      </c>
      <c r="B40" s="5" t="s">
        <v>133</v>
      </c>
      <c r="C40" s="5" t="s">
        <v>134</v>
      </c>
      <c r="D40" s="5" t="s">
        <v>52</v>
      </c>
      <c r="E40" s="5" t="s">
        <v>58</v>
      </c>
      <c r="F40" s="6">
        <v>7.1</v>
      </c>
      <c r="G40" s="7">
        <v>45699</v>
      </c>
      <c r="H40" s="7">
        <v>45711</v>
      </c>
      <c r="I40" s="7">
        <v>45831</v>
      </c>
      <c r="J40" s="7">
        <v>45831</v>
      </c>
      <c r="K40" s="8">
        <v>19040</v>
      </c>
      <c r="L40" s="5" t="s">
        <v>25</v>
      </c>
      <c r="M40" s="8">
        <v>308000</v>
      </c>
      <c r="N40" s="9" t="str">
        <f t="shared" si="0"/>
        <v>Medium scale</v>
      </c>
      <c r="O40" s="9" t="str">
        <f t="shared" si="1"/>
        <v>On Schedule</v>
      </c>
      <c r="P40" s="9" t="str">
        <f t="shared" si="2"/>
        <v>Loan eligible</v>
      </c>
      <c r="Q40" s="9">
        <f t="shared" si="3"/>
        <v>120</v>
      </c>
      <c r="R40" s="9" t="str">
        <f t="shared" si="4"/>
        <v>SE</v>
      </c>
      <c r="S40" s="9" t="str">
        <f t="shared" si="5"/>
        <v>MAZ</v>
      </c>
      <c r="T40" s="9" t="str">
        <f t="shared" si="6"/>
        <v>Fatima Okonkwo</v>
      </c>
      <c r="U40" t="str">
        <f t="shared" si="7"/>
        <v>June</v>
      </c>
    </row>
    <row r="41" spans="1:21" ht="14.25" customHeight="1" x14ac:dyDescent="0.25">
      <c r="A41" s="10">
        <v>40</v>
      </c>
      <c r="B41" s="11" t="s">
        <v>135</v>
      </c>
      <c r="C41" s="11" t="s">
        <v>136</v>
      </c>
      <c r="D41" s="11" t="s">
        <v>28</v>
      </c>
      <c r="E41" s="11" t="s">
        <v>66</v>
      </c>
      <c r="F41" s="12">
        <v>1.4</v>
      </c>
      <c r="G41" s="13">
        <v>45692</v>
      </c>
      <c r="H41" s="13">
        <v>45726</v>
      </c>
      <c r="I41" s="13">
        <v>45816</v>
      </c>
      <c r="J41" s="13">
        <v>45823</v>
      </c>
      <c r="K41" s="14">
        <v>1320</v>
      </c>
      <c r="L41" s="11" t="s">
        <v>30</v>
      </c>
      <c r="M41" s="14">
        <v>94000</v>
      </c>
      <c r="N41" s="9" t="str">
        <f t="shared" si="0"/>
        <v>Small holder</v>
      </c>
      <c r="O41" s="9" t="str">
        <f t="shared" si="1"/>
        <v>Delayed</v>
      </c>
      <c r="P41" s="9" t="str">
        <f t="shared" si="2"/>
        <v>Not eligible</v>
      </c>
      <c r="Q41" s="9">
        <f t="shared" si="3"/>
        <v>97</v>
      </c>
      <c r="R41" s="9" t="str">
        <f t="shared" si="4"/>
        <v>NE</v>
      </c>
      <c r="S41" s="9" t="str">
        <f t="shared" si="5"/>
        <v>MIL</v>
      </c>
      <c r="T41" s="9" t="str">
        <f t="shared" si="6"/>
        <v>Efe Ogundele</v>
      </c>
      <c r="U41" t="str">
        <f t="shared" si="7"/>
        <v>June</v>
      </c>
    </row>
    <row r="42" spans="1:21" ht="14.25" customHeight="1" x14ac:dyDescent="0.25">
      <c r="A42" s="4">
        <v>41</v>
      </c>
      <c r="B42" s="5" t="s">
        <v>137</v>
      </c>
      <c r="C42" s="5" t="s">
        <v>138</v>
      </c>
      <c r="D42" s="5" t="s">
        <v>61</v>
      </c>
      <c r="E42" s="5" t="s">
        <v>29</v>
      </c>
      <c r="F42" s="6">
        <v>7</v>
      </c>
      <c r="G42" s="7">
        <v>45031</v>
      </c>
      <c r="H42" s="7">
        <v>45113</v>
      </c>
      <c r="I42" s="7">
        <v>45230</v>
      </c>
      <c r="J42" s="7">
        <v>45238</v>
      </c>
      <c r="K42" s="8">
        <v>8240</v>
      </c>
      <c r="L42" s="5" t="s">
        <v>35</v>
      </c>
      <c r="M42" s="8">
        <v>0</v>
      </c>
      <c r="N42" s="9" t="str">
        <f t="shared" si="0"/>
        <v>Medium scale</v>
      </c>
      <c r="O42" s="9" t="str">
        <f t="shared" si="1"/>
        <v>Delayed</v>
      </c>
      <c r="P42" s="9" t="str">
        <f t="shared" si="2"/>
        <v>Not eligible</v>
      </c>
      <c r="Q42" s="9">
        <f t="shared" si="3"/>
        <v>125</v>
      </c>
      <c r="R42" s="9" t="str">
        <f t="shared" si="4"/>
        <v>SW</v>
      </c>
      <c r="S42" s="9" t="str">
        <f t="shared" si="5"/>
        <v>GRN</v>
      </c>
      <c r="T42" s="9" t="str">
        <f t="shared" si="6"/>
        <v>Blessing Abubakar</v>
      </c>
      <c r="U42" t="str">
        <f t="shared" si="7"/>
        <v>November</v>
      </c>
    </row>
    <row r="43" spans="1:21" ht="14.25" customHeight="1" x14ac:dyDescent="0.25">
      <c r="A43" s="10">
        <v>42</v>
      </c>
      <c r="B43" s="11" t="s">
        <v>139</v>
      </c>
      <c r="C43" s="11" t="s">
        <v>140</v>
      </c>
      <c r="D43" s="11" t="s">
        <v>52</v>
      </c>
      <c r="E43" s="11" t="s">
        <v>29</v>
      </c>
      <c r="F43" s="12">
        <v>2.1</v>
      </c>
      <c r="G43" s="13">
        <v>45357</v>
      </c>
      <c r="H43" s="13">
        <v>45487</v>
      </c>
      <c r="I43" s="13">
        <v>45580</v>
      </c>
      <c r="J43" s="13">
        <v>45575</v>
      </c>
      <c r="K43" s="14">
        <v>2270</v>
      </c>
      <c r="L43" s="11" t="s">
        <v>30</v>
      </c>
      <c r="M43" s="14">
        <v>111000</v>
      </c>
      <c r="N43" s="9" t="str">
        <f t="shared" si="0"/>
        <v>Medium scale</v>
      </c>
      <c r="O43" s="9" t="str">
        <f t="shared" si="1"/>
        <v>On Schedule</v>
      </c>
      <c r="P43" s="9" t="str">
        <f t="shared" si="2"/>
        <v>Not eligible</v>
      </c>
      <c r="Q43" s="9">
        <f t="shared" si="3"/>
        <v>88</v>
      </c>
      <c r="R43" s="9" t="str">
        <f t="shared" si="4"/>
        <v>SE</v>
      </c>
      <c r="S43" s="9" t="str">
        <f t="shared" si="5"/>
        <v>GRN</v>
      </c>
      <c r="T43" s="9" t="str">
        <f t="shared" si="6"/>
        <v>Adesuwa Nnamdi</v>
      </c>
      <c r="U43" t="str">
        <f t="shared" si="7"/>
        <v>October</v>
      </c>
    </row>
    <row r="44" spans="1:21" ht="14.25" customHeight="1" x14ac:dyDescent="0.25">
      <c r="A44" s="4">
        <v>43</v>
      </c>
      <c r="B44" s="5" t="s">
        <v>141</v>
      </c>
      <c r="C44" s="5" t="s">
        <v>142</v>
      </c>
      <c r="D44" s="5" t="s">
        <v>23</v>
      </c>
      <c r="E44" s="5" t="s">
        <v>53</v>
      </c>
      <c r="F44" s="6">
        <v>1.7</v>
      </c>
      <c r="G44" s="7">
        <v>45533</v>
      </c>
      <c r="H44" s="7">
        <v>45606</v>
      </c>
      <c r="I44" s="7">
        <v>45716</v>
      </c>
      <c r="J44" s="7">
        <v>45722</v>
      </c>
      <c r="K44" s="8">
        <v>1770</v>
      </c>
      <c r="L44" s="5" t="s">
        <v>25</v>
      </c>
      <c r="M44" s="8">
        <v>97000</v>
      </c>
      <c r="N44" s="9" t="str">
        <f t="shared" si="0"/>
        <v>Small holder</v>
      </c>
      <c r="O44" s="9" t="str">
        <f t="shared" si="1"/>
        <v>Delayed</v>
      </c>
      <c r="P44" s="9" t="str">
        <f t="shared" si="2"/>
        <v>Not eligible</v>
      </c>
      <c r="Q44" s="9">
        <f t="shared" si="3"/>
        <v>116</v>
      </c>
      <c r="R44" s="9" t="str">
        <f t="shared" si="4"/>
        <v>SS</v>
      </c>
      <c r="S44" s="9" t="str">
        <f t="shared" si="5"/>
        <v>SOR</v>
      </c>
      <c r="T44" s="9" t="str">
        <f t="shared" si="6"/>
        <v>Feyisayo Akande</v>
      </c>
      <c r="U44" t="str">
        <f t="shared" si="7"/>
        <v>March</v>
      </c>
    </row>
    <row r="45" spans="1:21" ht="14.25" customHeight="1" x14ac:dyDescent="0.25">
      <c r="A45" s="10">
        <v>44</v>
      </c>
      <c r="B45" s="11" t="s">
        <v>143</v>
      </c>
      <c r="C45" s="11" t="s">
        <v>144</v>
      </c>
      <c r="D45" s="11" t="s">
        <v>23</v>
      </c>
      <c r="E45" s="11" t="s">
        <v>29</v>
      </c>
      <c r="F45" s="12">
        <v>1.2</v>
      </c>
      <c r="G45" s="13">
        <v>45290</v>
      </c>
      <c r="H45" s="13">
        <v>45361</v>
      </c>
      <c r="I45" s="13">
        <v>45461</v>
      </c>
      <c r="J45" s="13">
        <v>45452</v>
      </c>
      <c r="K45" s="14">
        <v>1340</v>
      </c>
      <c r="L45" s="11" t="s">
        <v>25</v>
      </c>
      <c r="M45" s="14">
        <v>0</v>
      </c>
      <c r="N45" s="9" t="str">
        <f t="shared" si="0"/>
        <v>Small holder</v>
      </c>
      <c r="O45" s="9" t="str">
        <f t="shared" si="1"/>
        <v>On Schedule</v>
      </c>
      <c r="P45" s="9" t="str">
        <f t="shared" si="2"/>
        <v>Not eligible</v>
      </c>
      <c r="Q45" s="9">
        <f t="shared" si="3"/>
        <v>91</v>
      </c>
      <c r="R45" s="9" t="str">
        <f t="shared" si="4"/>
        <v>SS</v>
      </c>
      <c r="S45" s="9" t="str">
        <f t="shared" si="5"/>
        <v>GRN</v>
      </c>
      <c r="T45" s="9" t="str">
        <f t="shared" si="6"/>
        <v>Musa Balogun</v>
      </c>
      <c r="U45" t="str">
        <f t="shared" si="7"/>
        <v>June</v>
      </c>
    </row>
    <row r="46" spans="1:21" ht="14.25" customHeight="1" x14ac:dyDescent="0.25">
      <c r="A46" s="4">
        <v>45</v>
      </c>
      <c r="B46" s="5" t="s">
        <v>145</v>
      </c>
      <c r="C46" s="5" t="s">
        <v>146</v>
      </c>
      <c r="D46" s="5" t="s">
        <v>28</v>
      </c>
      <c r="E46" s="5" t="s">
        <v>24</v>
      </c>
      <c r="F46" s="6">
        <v>7.5</v>
      </c>
      <c r="G46" s="7">
        <v>45588</v>
      </c>
      <c r="H46" s="7">
        <v>45718</v>
      </c>
      <c r="I46" s="7">
        <v>45852</v>
      </c>
      <c r="J46" s="7">
        <v>45858</v>
      </c>
      <c r="K46" s="8">
        <v>19720</v>
      </c>
      <c r="L46" s="5" t="s">
        <v>25</v>
      </c>
      <c r="M46" s="8">
        <v>449000</v>
      </c>
      <c r="N46" s="9" t="str">
        <f t="shared" si="0"/>
        <v>Medium scale</v>
      </c>
      <c r="O46" s="9" t="str">
        <f t="shared" si="1"/>
        <v>Delayed</v>
      </c>
      <c r="P46" s="9" t="str">
        <f t="shared" si="2"/>
        <v>Loan eligible</v>
      </c>
      <c r="Q46" s="9">
        <f t="shared" si="3"/>
        <v>140</v>
      </c>
      <c r="R46" s="9" t="str">
        <f t="shared" si="4"/>
        <v>NE</v>
      </c>
      <c r="S46" s="9" t="str">
        <f t="shared" si="5"/>
        <v>RIC</v>
      </c>
      <c r="T46" s="9" t="str">
        <f t="shared" si="6"/>
        <v>Ayodele Uzoma</v>
      </c>
      <c r="U46" t="str">
        <f t="shared" si="7"/>
        <v>July</v>
      </c>
    </row>
    <row r="47" spans="1:21" ht="14.25" customHeight="1" x14ac:dyDescent="0.25">
      <c r="A47" s="10">
        <v>46</v>
      </c>
      <c r="B47" s="11" t="s">
        <v>147</v>
      </c>
      <c r="C47" s="11" t="s">
        <v>148</v>
      </c>
      <c r="D47" s="11" t="s">
        <v>76</v>
      </c>
      <c r="E47" s="11" t="s">
        <v>66</v>
      </c>
      <c r="F47" s="12">
        <v>18.3</v>
      </c>
      <c r="G47" s="13">
        <v>45287</v>
      </c>
      <c r="H47" s="13">
        <v>45408</v>
      </c>
      <c r="I47" s="13">
        <v>45501</v>
      </c>
      <c r="J47" s="13">
        <v>45498</v>
      </c>
      <c r="K47" s="14">
        <v>12720</v>
      </c>
      <c r="L47" s="11" t="s">
        <v>25</v>
      </c>
      <c r="M47" s="14">
        <v>0</v>
      </c>
      <c r="N47" s="9" t="str">
        <f t="shared" si="0"/>
        <v>Commercial</v>
      </c>
      <c r="O47" s="9" t="str">
        <f t="shared" si="1"/>
        <v>On Schedule</v>
      </c>
      <c r="P47" s="9" t="str">
        <f t="shared" si="2"/>
        <v>Loan eligible</v>
      </c>
      <c r="Q47" s="9">
        <f t="shared" si="3"/>
        <v>90</v>
      </c>
      <c r="R47" s="9" t="str">
        <f t="shared" si="4"/>
        <v>NC</v>
      </c>
      <c r="S47" s="9" t="str">
        <f t="shared" si="5"/>
        <v>MIL</v>
      </c>
      <c r="T47" s="9" t="str">
        <f t="shared" si="6"/>
        <v>Chukwudi Fashola</v>
      </c>
      <c r="U47" t="str">
        <f t="shared" si="7"/>
        <v>July</v>
      </c>
    </row>
    <row r="48" spans="1:21" ht="14.25" customHeight="1" x14ac:dyDescent="0.25">
      <c r="A48" s="4">
        <v>47</v>
      </c>
      <c r="B48" s="5" t="s">
        <v>149</v>
      </c>
      <c r="C48" s="5" t="s">
        <v>150</v>
      </c>
      <c r="D48" s="5" t="s">
        <v>52</v>
      </c>
      <c r="E48" s="5" t="s">
        <v>49</v>
      </c>
      <c r="F48" s="6">
        <v>1.3</v>
      </c>
      <c r="G48" s="7">
        <v>45705</v>
      </c>
      <c r="H48" s="7">
        <v>45844</v>
      </c>
      <c r="I48" s="7">
        <v>46152</v>
      </c>
      <c r="J48" s="7">
        <v>46151</v>
      </c>
      <c r="K48" s="8">
        <v>15590</v>
      </c>
      <c r="L48" s="5" t="s">
        <v>25</v>
      </c>
      <c r="M48" s="8">
        <v>64000</v>
      </c>
      <c r="N48" s="9" t="str">
        <f t="shared" si="0"/>
        <v>Small holder</v>
      </c>
      <c r="O48" s="9" t="str">
        <f t="shared" si="1"/>
        <v>On Schedule</v>
      </c>
      <c r="P48" s="9" t="str">
        <f t="shared" si="2"/>
        <v>Not eligible</v>
      </c>
      <c r="Q48" s="9">
        <f t="shared" si="3"/>
        <v>307</v>
      </c>
      <c r="R48" s="9" t="str">
        <f t="shared" si="4"/>
        <v>SE</v>
      </c>
      <c r="S48" s="9" t="str">
        <f t="shared" si="5"/>
        <v>CAS</v>
      </c>
      <c r="T48" s="9" t="str">
        <f t="shared" si="6"/>
        <v>Funke Danladi</v>
      </c>
      <c r="U48" t="str">
        <f t="shared" si="7"/>
        <v>May</v>
      </c>
    </row>
    <row r="49" spans="1:21" ht="14.25" customHeight="1" x14ac:dyDescent="0.25">
      <c r="A49" s="10">
        <v>48</v>
      </c>
      <c r="B49" s="11" t="s">
        <v>151</v>
      </c>
      <c r="C49" s="11" t="s">
        <v>152</v>
      </c>
      <c r="D49" s="11" t="s">
        <v>23</v>
      </c>
      <c r="E49" s="11" t="s">
        <v>49</v>
      </c>
      <c r="F49" s="12">
        <v>7.5</v>
      </c>
      <c r="G49" s="13">
        <v>45056</v>
      </c>
      <c r="H49" s="13">
        <v>45224</v>
      </c>
      <c r="I49" s="13">
        <v>45549</v>
      </c>
      <c r="J49" s="13">
        <v>45556</v>
      </c>
      <c r="K49" s="14">
        <v>91770</v>
      </c>
      <c r="L49" s="11" t="s">
        <v>35</v>
      </c>
      <c r="M49" s="14">
        <v>399000</v>
      </c>
      <c r="N49" s="9" t="str">
        <f t="shared" si="0"/>
        <v>Medium scale</v>
      </c>
      <c r="O49" s="9" t="str">
        <f t="shared" si="1"/>
        <v>Delayed</v>
      </c>
      <c r="P49" s="9" t="str">
        <f t="shared" si="2"/>
        <v>Not eligible</v>
      </c>
      <c r="Q49" s="9">
        <f t="shared" si="3"/>
        <v>332</v>
      </c>
      <c r="R49" s="9" t="str">
        <f t="shared" si="4"/>
        <v>SS</v>
      </c>
      <c r="S49" s="9" t="str">
        <f t="shared" si="5"/>
        <v>CAS</v>
      </c>
      <c r="T49" s="9" t="str">
        <f t="shared" si="6"/>
        <v>Kunle Adeyemi</v>
      </c>
      <c r="U49" t="str">
        <f t="shared" si="7"/>
        <v>September</v>
      </c>
    </row>
    <row r="50" spans="1:21" ht="14.25" customHeight="1" x14ac:dyDescent="0.25">
      <c r="A50" s="4">
        <v>49</v>
      </c>
      <c r="B50" s="5" t="s">
        <v>153</v>
      </c>
      <c r="C50" s="5" t="s">
        <v>154</v>
      </c>
      <c r="D50" s="5" t="s">
        <v>28</v>
      </c>
      <c r="E50" s="5" t="s">
        <v>58</v>
      </c>
      <c r="F50" s="6">
        <v>1.2</v>
      </c>
      <c r="G50" s="7">
        <v>45517</v>
      </c>
      <c r="H50" s="7">
        <v>45683</v>
      </c>
      <c r="I50" s="7">
        <v>45794</v>
      </c>
      <c r="J50" s="7">
        <v>45792</v>
      </c>
      <c r="K50" s="8">
        <v>3560</v>
      </c>
      <c r="L50" s="5" t="s">
        <v>30</v>
      </c>
      <c r="M50" s="8">
        <v>0</v>
      </c>
      <c r="N50" s="9" t="str">
        <f t="shared" si="0"/>
        <v>Small holder</v>
      </c>
      <c r="O50" s="9" t="str">
        <f t="shared" si="1"/>
        <v>On Schedule</v>
      </c>
      <c r="P50" s="9" t="str">
        <f t="shared" si="2"/>
        <v>Not eligible</v>
      </c>
      <c r="Q50" s="9">
        <f t="shared" si="3"/>
        <v>109</v>
      </c>
      <c r="R50" s="9" t="str">
        <f t="shared" si="4"/>
        <v>NE</v>
      </c>
      <c r="S50" s="9" t="str">
        <f t="shared" si="5"/>
        <v>MAZ</v>
      </c>
      <c r="T50" s="9" t="str">
        <f t="shared" si="6"/>
        <v>Folake Ndubuisi</v>
      </c>
      <c r="U50" t="str">
        <f t="shared" si="7"/>
        <v>May</v>
      </c>
    </row>
    <row r="51" spans="1:21" ht="14.25" customHeight="1" x14ac:dyDescent="0.25">
      <c r="A51" s="10">
        <v>50</v>
      </c>
      <c r="B51" s="11" t="s">
        <v>155</v>
      </c>
      <c r="C51" s="11" t="s">
        <v>156</v>
      </c>
      <c r="D51" s="11" t="s">
        <v>28</v>
      </c>
      <c r="E51" s="11" t="s">
        <v>24</v>
      </c>
      <c r="F51" s="12">
        <v>3.8</v>
      </c>
      <c r="G51" s="13">
        <v>45462</v>
      </c>
      <c r="H51" s="13">
        <v>45564</v>
      </c>
      <c r="I51" s="13">
        <v>45698</v>
      </c>
      <c r="J51" s="13">
        <v>45718</v>
      </c>
      <c r="K51" s="14">
        <v>13860</v>
      </c>
      <c r="L51" s="11" t="s">
        <v>30</v>
      </c>
      <c r="M51" s="14">
        <v>223000</v>
      </c>
      <c r="N51" s="9" t="str">
        <f t="shared" si="0"/>
        <v>Medium scale</v>
      </c>
      <c r="O51" s="9" t="str">
        <f t="shared" si="1"/>
        <v>Delayed</v>
      </c>
      <c r="P51" s="9" t="str">
        <f t="shared" si="2"/>
        <v>Not eligible</v>
      </c>
      <c r="Q51" s="9">
        <f t="shared" si="3"/>
        <v>154</v>
      </c>
      <c r="R51" s="9" t="str">
        <f t="shared" si="4"/>
        <v>NE</v>
      </c>
      <c r="S51" s="9" t="str">
        <f t="shared" si="5"/>
        <v>RIC</v>
      </c>
      <c r="T51" s="9" t="str">
        <f t="shared" si="6"/>
        <v>Chukwudi Uzoma</v>
      </c>
      <c r="U51" t="str">
        <f t="shared" si="7"/>
        <v>March</v>
      </c>
    </row>
    <row r="52" spans="1:21" ht="14.25" customHeight="1" x14ac:dyDescent="0.25">
      <c r="A52" s="4">
        <v>51</v>
      </c>
      <c r="B52" s="5" t="s">
        <v>157</v>
      </c>
      <c r="C52" s="5" t="s">
        <v>158</v>
      </c>
      <c r="D52" s="5" t="s">
        <v>52</v>
      </c>
      <c r="E52" s="5" t="s">
        <v>24</v>
      </c>
      <c r="F52" s="6">
        <v>0.6</v>
      </c>
      <c r="G52" s="7">
        <v>45172</v>
      </c>
      <c r="H52" s="7">
        <v>45221</v>
      </c>
      <c r="I52" s="7">
        <v>45358</v>
      </c>
      <c r="J52" s="7">
        <v>45358</v>
      </c>
      <c r="K52" s="8">
        <v>1700</v>
      </c>
      <c r="L52" s="5" t="s">
        <v>35</v>
      </c>
      <c r="M52" s="8">
        <v>25000</v>
      </c>
      <c r="N52" s="9" t="str">
        <f t="shared" si="0"/>
        <v>Small holder</v>
      </c>
      <c r="O52" s="9" t="str">
        <f t="shared" si="1"/>
        <v>On Schedule</v>
      </c>
      <c r="P52" s="9" t="str">
        <f t="shared" si="2"/>
        <v>Not eligible</v>
      </c>
      <c r="Q52" s="9">
        <f t="shared" si="3"/>
        <v>137</v>
      </c>
      <c r="R52" s="9" t="str">
        <f t="shared" si="4"/>
        <v>SE</v>
      </c>
      <c r="S52" s="9" t="str">
        <f t="shared" si="5"/>
        <v>RIC</v>
      </c>
      <c r="T52" s="9" t="str">
        <f t="shared" si="6"/>
        <v>Victory Danladi</v>
      </c>
      <c r="U52" t="str">
        <f t="shared" si="7"/>
        <v>March</v>
      </c>
    </row>
    <row r="53" spans="1:21" ht="14.25" customHeight="1" x14ac:dyDescent="0.25">
      <c r="A53" s="10">
        <v>52</v>
      </c>
      <c r="B53" s="11" t="s">
        <v>159</v>
      </c>
      <c r="C53" s="11" t="s">
        <v>160</v>
      </c>
      <c r="D53" s="11" t="s">
        <v>76</v>
      </c>
      <c r="E53" s="11" t="s">
        <v>53</v>
      </c>
      <c r="F53" s="12">
        <v>0.9</v>
      </c>
      <c r="G53" s="13">
        <v>45737</v>
      </c>
      <c r="H53" s="13">
        <v>45902</v>
      </c>
      <c r="I53" s="13">
        <v>46020</v>
      </c>
      <c r="J53" s="13">
        <v>46033</v>
      </c>
      <c r="K53" s="14">
        <v>1030</v>
      </c>
      <c r="L53" s="11" t="s">
        <v>25</v>
      </c>
      <c r="M53" s="14">
        <v>61000</v>
      </c>
      <c r="N53" s="9" t="str">
        <f t="shared" si="0"/>
        <v>Small holder</v>
      </c>
      <c r="O53" s="9" t="str">
        <f t="shared" si="1"/>
        <v>Delayed</v>
      </c>
      <c r="P53" s="9" t="str">
        <f t="shared" si="2"/>
        <v>Not eligible</v>
      </c>
      <c r="Q53" s="9">
        <f t="shared" si="3"/>
        <v>131</v>
      </c>
      <c r="R53" s="9" t="str">
        <f t="shared" si="4"/>
        <v>NC</v>
      </c>
      <c r="S53" s="9" t="str">
        <f t="shared" si="5"/>
        <v>SOR</v>
      </c>
      <c r="T53" s="9" t="str">
        <f t="shared" si="6"/>
        <v>Efe Ayuba</v>
      </c>
      <c r="U53" t="str">
        <f t="shared" si="7"/>
        <v>January</v>
      </c>
    </row>
    <row r="54" spans="1:21" ht="14.25" customHeight="1" x14ac:dyDescent="0.25">
      <c r="A54" s="4">
        <v>53</v>
      </c>
      <c r="B54" s="5" t="s">
        <v>161</v>
      </c>
      <c r="C54" s="5" t="s">
        <v>162</v>
      </c>
      <c r="D54" s="5" t="s">
        <v>28</v>
      </c>
      <c r="E54" s="5" t="s">
        <v>24</v>
      </c>
      <c r="F54" s="6">
        <v>8.5</v>
      </c>
      <c r="G54" s="7">
        <v>45222</v>
      </c>
      <c r="H54" s="7">
        <v>45339</v>
      </c>
      <c r="I54" s="7">
        <v>45462</v>
      </c>
      <c r="J54" s="7">
        <v>45482</v>
      </c>
      <c r="K54" s="8">
        <v>28560</v>
      </c>
      <c r="L54" s="5" t="s">
        <v>30</v>
      </c>
      <c r="M54" s="8">
        <v>466000</v>
      </c>
      <c r="N54" s="9" t="str">
        <f t="shared" si="0"/>
        <v>Medium scale</v>
      </c>
      <c r="O54" s="9" t="str">
        <f t="shared" si="1"/>
        <v>Delayed</v>
      </c>
      <c r="P54" s="9" t="str">
        <f t="shared" si="2"/>
        <v>Not eligible</v>
      </c>
      <c r="Q54" s="9">
        <f t="shared" si="3"/>
        <v>143</v>
      </c>
      <c r="R54" s="9" t="str">
        <f t="shared" si="4"/>
        <v>NE</v>
      </c>
      <c r="S54" s="9" t="str">
        <f t="shared" si="5"/>
        <v>RIC</v>
      </c>
      <c r="T54" s="9" t="str">
        <f t="shared" si="6"/>
        <v>Emeka Adamu</v>
      </c>
      <c r="U54" t="str">
        <f t="shared" si="7"/>
        <v>July</v>
      </c>
    </row>
    <row r="55" spans="1:21" ht="14.25" customHeight="1" x14ac:dyDescent="0.25">
      <c r="A55" s="10">
        <v>54</v>
      </c>
      <c r="B55" s="11" t="s">
        <v>163</v>
      </c>
      <c r="C55" s="11" t="s">
        <v>164</v>
      </c>
      <c r="D55" s="11" t="s">
        <v>33</v>
      </c>
      <c r="E55" s="11" t="s">
        <v>58</v>
      </c>
      <c r="F55" s="12">
        <v>2.2000000000000002</v>
      </c>
      <c r="G55" s="13">
        <v>45161</v>
      </c>
      <c r="H55" s="13">
        <v>45338</v>
      </c>
      <c r="I55" s="13">
        <v>45454</v>
      </c>
      <c r="J55" s="13">
        <v>45492</v>
      </c>
      <c r="K55" s="14">
        <v>6990</v>
      </c>
      <c r="L55" s="11" t="s">
        <v>30</v>
      </c>
      <c r="M55" s="14">
        <v>106000</v>
      </c>
      <c r="N55" s="9" t="str">
        <f t="shared" si="0"/>
        <v>Medium scale</v>
      </c>
      <c r="O55" s="9" t="str">
        <f t="shared" si="1"/>
        <v>Delayed</v>
      </c>
      <c r="P55" s="9" t="str">
        <f t="shared" si="2"/>
        <v>Not eligible</v>
      </c>
      <c r="Q55" s="9">
        <f t="shared" si="3"/>
        <v>154</v>
      </c>
      <c r="R55" s="9" t="str">
        <f t="shared" si="4"/>
        <v>NW</v>
      </c>
      <c r="S55" s="9" t="str">
        <f t="shared" si="5"/>
        <v>MAZ</v>
      </c>
      <c r="T55" s="9" t="str">
        <f t="shared" si="6"/>
        <v>Aminu Igwe</v>
      </c>
      <c r="U55" t="str">
        <f t="shared" si="7"/>
        <v>July</v>
      </c>
    </row>
    <row r="56" spans="1:21" ht="14.25" customHeight="1" x14ac:dyDescent="0.25">
      <c r="A56" s="4">
        <v>55</v>
      </c>
      <c r="B56" s="5" t="s">
        <v>165</v>
      </c>
      <c r="C56" s="5" t="s">
        <v>166</v>
      </c>
      <c r="D56" s="5" t="s">
        <v>33</v>
      </c>
      <c r="E56" s="5" t="s">
        <v>49</v>
      </c>
      <c r="F56" s="6">
        <v>12.7</v>
      </c>
      <c r="G56" s="7">
        <v>45526</v>
      </c>
      <c r="H56" s="7">
        <v>45642</v>
      </c>
      <c r="I56" s="7">
        <v>45952</v>
      </c>
      <c r="J56" s="7">
        <v>45958</v>
      </c>
      <c r="K56" s="8">
        <v>124710</v>
      </c>
      <c r="L56" s="5" t="s">
        <v>25</v>
      </c>
      <c r="M56" s="8">
        <v>548000</v>
      </c>
      <c r="N56" s="9" t="str">
        <f t="shared" si="0"/>
        <v>Commercial</v>
      </c>
      <c r="O56" s="9" t="str">
        <f t="shared" si="1"/>
        <v>Delayed</v>
      </c>
      <c r="P56" s="9" t="str">
        <f t="shared" si="2"/>
        <v>Loan eligible</v>
      </c>
      <c r="Q56" s="9">
        <f t="shared" si="3"/>
        <v>316</v>
      </c>
      <c r="R56" s="9" t="str">
        <f t="shared" si="4"/>
        <v>NW</v>
      </c>
      <c r="S56" s="9" t="str">
        <f t="shared" si="5"/>
        <v>CAS</v>
      </c>
      <c r="T56" s="9" t="str">
        <f t="shared" si="6"/>
        <v>Chukwuemeka Fashola</v>
      </c>
      <c r="U56" t="str">
        <f t="shared" si="7"/>
        <v>October</v>
      </c>
    </row>
    <row r="57" spans="1:21" ht="14.25" customHeight="1" x14ac:dyDescent="0.25">
      <c r="A57" s="10">
        <v>56</v>
      </c>
      <c r="B57" s="11" t="s">
        <v>167</v>
      </c>
      <c r="C57" s="11" t="s">
        <v>168</v>
      </c>
      <c r="D57" s="11" t="s">
        <v>28</v>
      </c>
      <c r="E57" s="11" t="s">
        <v>34</v>
      </c>
      <c r="F57" s="12">
        <v>22.2</v>
      </c>
      <c r="G57" s="13">
        <v>45490</v>
      </c>
      <c r="H57" s="13">
        <v>45504</v>
      </c>
      <c r="I57" s="13">
        <v>45862</v>
      </c>
      <c r="J57" s="13">
        <v>45858</v>
      </c>
      <c r="K57" s="14">
        <v>9920</v>
      </c>
      <c r="L57" s="11" t="s">
        <v>30</v>
      </c>
      <c r="M57" s="14">
        <v>1231000</v>
      </c>
      <c r="N57" s="9" t="str">
        <f t="shared" si="0"/>
        <v>Commercial</v>
      </c>
      <c r="O57" s="9" t="str">
        <f t="shared" si="1"/>
        <v>On Schedule</v>
      </c>
      <c r="P57" s="9" t="str">
        <f t="shared" si="2"/>
        <v>Not eligible</v>
      </c>
      <c r="Q57" s="9">
        <f t="shared" si="3"/>
        <v>354</v>
      </c>
      <c r="R57" s="9" t="str">
        <f t="shared" si="4"/>
        <v>NE</v>
      </c>
      <c r="S57" s="9" t="str">
        <f t="shared" si="5"/>
        <v>COC</v>
      </c>
      <c r="T57" s="9" t="str">
        <f t="shared" si="6"/>
        <v>Abdullahi Nwachukwu</v>
      </c>
      <c r="U57" t="str">
        <f t="shared" si="7"/>
        <v>July</v>
      </c>
    </row>
    <row r="58" spans="1:21" ht="14.25" customHeight="1" x14ac:dyDescent="0.25">
      <c r="A58" s="4">
        <v>57</v>
      </c>
      <c r="B58" s="5" t="s">
        <v>169</v>
      </c>
      <c r="C58" s="5" t="s">
        <v>170</v>
      </c>
      <c r="D58" s="5" t="s">
        <v>33</v>
      </c>
      <c r="E58" s="5" t="s">
        <v>66</v>
      </c>
      <c r="F58" s="6">
        <v>1.6</v>
      </c>
      <c r="G58" s="7">
        <v>45567</v>
      </c>
      <c r="H58" s="7">
        <v>45685</v>
      </c>
      <c r="I58" s="7">
        <v>45771</v>
      </c>
      <c r="J58" s="7">
        <v>45763</v>
      </c>
      <c r="K58" s="8">
        <v>1120</v>
      </c>
      <c r="L58" s="5" t="s">
        <v>25</v>
      </c>
      <c r="M58" s="8">
        <v>87000</v>
      </c>
      <c r="N58" s="9" t="str">
        <f t="shared" si="0"/>
        <v>Small holder</v>
      </c>
      <c r="O58" s="9" t="str">
        <f t="shared" si="1"/>
        <v>On Schedule</v>
      </c>
      <c r="P58" s="9" t="str">
        <f t="shared" si="2"/>
        <v>Not eligible</v>
      </c>
      <c r="Q58" s="9">
        <f t="shared" si="3"/>
        <v>78</v>
      </c>
      <c r="R58" s="9" t="str">
        <f t="shared" si="4"/>
        <v>NW</v>
      </c>
      <c r="S58" s="9" t="str">
        <f t="shared" si="5"/>
        <v>MIL</v>
      </c>
      <c r="T58" s="9" t="str">
        <f t="shared" si="6"/>
        <v>Abdullahi Nwosu</v>
      </c>
      <c r="U58" t="str">
        <f t="shared" si="7"/>
        <v>April</v>
      </c>
    </row>
    <row r="59" spans="1:21" ht="14.25" customHeight="1" x14ac:dyDescent="0.25">
      <c r="A59" s="10">
        <v>58</v>
      </c>
      <c r="B59" s="11" t="s">
        <v>171</v>
      </c>
      <c r="C59" s="11" t="s">
        <v>172</v>
      </c>
      <c r="D59" s="11" t="s">
        <v>33</v>
      </c>
      <c r="E59" s="11" t="s">
        <v>46</v>
      </c>
      <c r="F59" s="12">
        <v>1.1000000000000001</v>
      </c>
      <c r="G59" s="13">
        <v>45157</v>
      </c>
      <c r="H59" s="13">
        <v>45191</v>
      </c>
      <c r="I59" s="13">
        <v>45385</v>
      </c>
      <c r="J59" s="13">
        <v>45427</v>
      </c>
      <c r="K59" s="14">
        <v>10550</v>
      </c>
      <c r="L59" s="11" t="s">
        <v>25</v>
      </c>
      <c r="M59" s="14">
        <v>61000</v>
      </c>
      <c r="N59" s="9" t="str">
        <f t="shared" si="0"/>
        <v>Small holder</v>
      </c>
      <c r="O59" s="9" t="str">
        <f t="shared" si="1"/>
        <v>Delayed</v>
      </c>
      <c r="P59" s="9" t="str">
        <f t="shared" si="2"/>
        <v>Not eligible</v>
      </c>
      <c r="Q59" s="9">
        <f t="shared" si="3"/>
        <v>236</v>
      </c>
      <c r="R59" s="9" t="str">
        <f t="shared" si="4"/>
        <v>NW</v>
      </c>
      <c r="S59" s="9" t="str">
        <f t="shared" si="5"/>
        <v>YAM</v>
      </c>
      <c r="T59" s="9" t="str">
        <f t="shared" si="6"/>
        <v>Blessing Adamu</v>
      </c>
      <c r="U59" t="str">
        <f t="shared" si="7"/>
        <v>May</v>
      </c>
    </row>
    <row r="60" spans="1:21" ht="14.25" customHeight="1" x14ac:dyDescent="0.25">
      <c r="A60" s="4">
        <v>59</v>
      </c>
      <c r="B60" s="5" t="s">
        <v>173</v>
      </c>
      <c r="C60" s="5" t="s">
        <v>174</v>
      </c>
      <c r="D60" s="5" t="s">
        <v>76</v>
      </c>
      <c r="E60" s="5" t="s">
        <v>29</v>
      </c>
      <c r="F60" s="6">
        <v>1.3</v>
      </c>
      <c r="G60" s="7">
        <v>45319</v>
      </c>
      <c r="H60" s="7">
        <v>45372</v>
      </c>
      <c r="I60" s="7">
        <v>45491</v>
      </c>
      <c r="J60" s="7">
        <v>45500</v>
      </c>
      <c r="K60" s="8">
        <v>1580</v>
      </c>
      <c r="L60" s="5" t="s">
        <v>25</v>
      </c>
      <c r="M60" s="8">
        <v>68000</v>
      </c>
      <c r="N60" s="9" t="str">
        <f t="shared" si="0"/>
        <v>Small holder</v>
      </c>
      <c r="O60" s="9" t="str">
        <f t="shared" si="1"/>
        <v>Delayed</v>
      </c>
      <c r="P60" s="9" t="str">
        <f t="shared" si="2"/>
        <v>Not eligible</v>
      </c>
      <c r="Q60" s="9">
        <f t="shared" si="3"/>
        <v>128</v>
      </c>
      <c r="R60" s="9" t="str">
        <f t="shared" si="4"/>
        <v>NC</v>
      </c>
      <c r="S60" s="9" t="str">
        <f t="shared" si="5"/>
        <v>GRN</v>
      </c>
      <c r="T60" s="9" t="str">
        <f t="shared" si="6"/>
        <v>Esther Ndubuisi</v>
      </c>
      <c r="U60" t="str">
        <f t="shared" si="7"/>
        <v>July</v>
      </c>
    </row>
    <row r="61" spans="1:21" ht="14.25" customHeight="1" x14ac:dyDescent="0.25">
      <c r="A61" s="10">
        <v>60</v>
      </c>
      <c r="B61" s="11" t="s">
        <v>175</v>
      </c>
      <c r="C61" s="11" t="s">
        <v>176</v>
      </c>
      <c r="D61" s="11" t="s">
        <v>52</v>
      </c>
      <c r="E61" s="11" t="s">
        <v>53</v>
      </c>
      <c r="F61" s="12">
        <v>1.3</v>
      </c>
      <c r="G61" s="13">
        <v>45602</v>
      </c>
      <c r="H61" s="13">
        <v>45732</v>
      </c>
      <c r="I61" s="13">
        <v>45859</v>
      </c>
      <c r="J61" s="13">
        <v>45851</v>
      </c>
      <c r="K61" s="14">
        <v>1550</v>
      </c>
      <c r="L61" s="11" t="s">
        <v>25</v>
      </c>
      <c r="M61" s="14">
        <v>67000</v>
      </c>
      <c r="N61" s="9" t="str">
        <f t="shared" si="0"/>
        <v>Small holder</v>
      </c>
      <c r="O61" s="9" t="str">
        <f t="shared" si="1"/>
        <v>On Schedule</v>
      </c>
      <c r="P61" s="9" t="str">
        <f t="shared" si="2"/>
        <v>Not eligible</v>
      </c>
      <c r="Q61" s="9">
        <f t="shared" si="3"/>
        <v>119</v>
      </c>
      <c r="R61" s="9" t="str">
        <f t="shared" si="4"/>
        <v>SE</v>
      </c>
      <c r="S61" s="9" t="str">
        <f t="shared" si="5"/>
        <v>SOR</v>
      </c>
      <c r="T61" s="9" t="str">
        <f t="shared" si="6"/>
        <v>Mary Okafor</v>
      </c>
      <c r="U61" t="str">
        <f t="shared" si="7"/>
        <v>July</v>
      </c>
    </row>
    <row r="62" spans="1:21" ht="14.25" customHeight="1" x14ac:dyDescent="0.25">
      <c r="A62" s="4">
        <v>61</v>
      </c>
      <c r="B62" s="5" t="s">
        <v>177</v>
      </c>
      <c r="C62" s="5" t="s">
        <v>178</v>
      </c>
      <c r="D62" s="5" t="s">
        <v>76</v>
      </c>
      <c r="E62" s="5" t="s">
        <v>46</v>
      </c>
      <c r="F62" s="6">
        <v>1.6</v>
      </c>
      <c r="G62" s="7">
        <v>44971</v>
      </c>
      <c r="H62" s="7">
        <v>45057</v>
      </c>
      <c r="I62" s="7">
        <v>45260</v>
      </c>
      <c r="J62" s="7">
        <v>45285</v>
      </c>
      <c r="K62" s="8">
        <v>11930</v>
      </c>
      <c r="L62" s="5" t="s">
        <v>35</v>
      </c>
      <c r="M62" s="8">
        <v>111000</v>
      </c>
      <c r="N62" s="9" t="str">
        <f t="shared" si="0"/>
        <v>Small holder</v>
      </c>
      <c r="O62" s="9" t="str">
        <f t="shared" si="1"/>
        <v>Delayed</v>
      </c>
      <c r="P62" s="9" t="str">
        <f t="shared" si="2"/>
        <v>Not eligible</v>
      </c>
      <c r="Q62" s="9">
        <f t="shared" si="3"/>
        <v>228</v>
      </c>
      <c r="R62" s="9" t="str">
        <f t="shared" si="4"/>
        <v>NC</v>
      </c>
      <c r="S62" s="9" t="str">
        <f t="shared" si="5"/>
        <v>YAM</v>
      </c>
      <c r="T62" s="9" t="str">
        <f t="shared" si="6"/>
        <v>Efe Ibe</v>
      </c>
      <c r="U62" t="str">
        <f t="shared" si="7"/>
        <v>December</v>
      </c>
    </row>
    <row r="63" spans="1:21" ht="14.25" customHeight="1" x14ac:dyDescent="0.25">
      <c r="A63" s="10">
        <v>62</v>
      </c>
      <c r="B63" s="11" t="s">
        <v>179</v>
      </c>
      <c r="C63" s="11" t="s">
        <v>180</v>
      </c>
      <c r="D63" s="11" t="s">
        <v>61</v>
      </c>
      <c r="E63" s="11" t="s">
        <v>58</v>
      </c>
      <c r="F63" s="12">
        <v>0.6</v>
      </c>
      <c r="G63" s="13">
        <v>45792</v>
      </c>
      <c r="H63" s="13">
        <v>45909</v>
      </c>
      <c r="I63" s="13">
        <v>46002</v>
      </c>
      <c r="J63" s="13">
        <v>46032</v>
      </c>
      <c r="K63" s="14">
        <v>1060</v>
      </c>
      <c r="L63" s="11" t="s">
        <v>25</v>
      </c>
      <c r="M63" s="14">
        <v>41000</v>
      </c>
      <c r="N63" s="9" t="str">
        <f t="shared" si="0"/>
        <v>Small holder</v>
      </c>
      <c r="O63" s="9" t="str">
        <f t="shared" si="1"/>
        <v>Delayed</v>
      </c>
      <c r="P63" s="9" t="str">
        <f t="shared" si="2"/>
        <v>Not eligible</v>
      </c>
      <c r="Q63" s="9">
        <f t="shared" si="3"/>
        <v>123</v>
      </c>
      <c r="R63" s="9" t="str">
        <f t="shared" si="4"/>
        <v>SW</v>
      </c>
      <c r="S63" s="9" t="str">
        <f t="shared" si="5"/>
        <v>MAZ</v>
      </c>
      <c r="T63" s="9" t="str">
        <f t="shared" si="6"/>
        <v>Amaka Adisa</v>
      </c>
      <c r="U63" t="str">
        <f t="shared" si="7"/>
        <v>January</v>
      </c>
    </row>
    <row r="64" spans="1:21" ht="14.25" customHeight="1" x14ac:dyDescent="0.25">
      <c r="A64" s="4">
        <v>63</v>
      </c>
      <c r="B64" s="5" t="s">
        <v>181</v>
      </c>
      <c r="C64" s="5" t="s">
        <v>182</v>
      </c>
      <c r="D64" s="5" t="s">
        <v>33</v>
      </c>
      <c r="E64" s="5" t="s">
        <v>66</v>
      </c>
      <c r="F64" s="6">
        <v>7.1</v>
      </c>
      <c r="G64" s="7">
        <v>45799</v>
      </c>
      <c r="H64" s="7">
        <v>45888</v>
      </c>
      <c r="I64" s="7">
        <v>45985</v>
      </c>
      <c r="J64" s="7">
        <v>46026</v>
      </c>
      <c r="K64" s="8">
        <v>7230</v>
      </c>
      <c r="L64" s="5" t="s">
        <v>35</v>
      </c>
      <c r="M64" s="8">
        <v>292000</v>
      </c>
      <c r="N64" s="9" t="str">
        <f t="shared" si="0"/>
        <v>Medium scale</v>
      </c>
      <c r="O64" s="9" t="str">
        <f t="shared" si="1"/>
        <v>Delayed</v>
      </c>
      <c r="P64" s="9" t="str">
        <f t="shared" si="2"/>
        <v>Not eligible</v>
      </c>
      <c r="Q64" s="9">
        <f t="shared" si="3"/>
        <v>138</v>
      </c>
      <c r="R64" s="9" t="str">
        <f t="shared" si="4"/>
        <v>NW</v>
      </c>
      <c r="S64" s="9" t="str">
        <f t="shared" si="5"/>
        <v>MIL</v>
      </c>
      <c r="T64" s="9" t="str">
        <f t="shared" si="6"/>
        <v>Peter Ogundele</v>
      </c>
      <c r="U64" t="str">
        <f t="shared" si="7"/>
        <v>January</v>
      </c>
    </row>
    <row r="65" spans="1:21" ht="14.25" customHeight="1" x14ac:dyDescent="0.25">
      <c r="A65" s="10">
        <v>64</v>
      </c>
      <c r="B65" s="11" t="s">
        <v>183</v>
      </c>
      <c r="C65" s="11" t="s">
        <v>184</v>
      </c>
      <c r="D65" s="11" t="s">
        <v>33</v>
      </c>
      <c r="E65" s="11" t="s">
        <v>46</v>
      </c>
      <c r="F65" s="12">
        <v>5.4</v>
      </c>
      <c r="G65" s="13">
        <v>45027</v>
      </c>
      <c r="H65" s="13">
        <v>45194</v>
      </c>
      <c r="I65" s="13">
        <v>45396</v>
      </c>
      <c r="J65" s="13">
        <v>45425</v>
      </c>
      <c r="K65" s="14">
        <v>34550</v>
      </c>
      <c r="L65" s="11" t="s">
        <v>25</v>
      </c>
      <c r="M65" s="14">
        <v>0</v>
      </c>
      <c r="N65" s="9" t="str">
        <f t="shared" si="0"/>
        <v>Medium scale</v>
      </c>
      <c r="O65" s="9" t="str">
        <f t="shared" si="1"/>
        <v>Delayed</v>
      </c>
      <c r="P65" s="9" t="str">
        <f t="shared" si="2"/>
        <v>Loan eligible</v>
      </c>
      <c r="Q65" s="9">
        <f t="shared" si="3"/>
        <v>231</v>
      </c>
      <c r="R65" s="9" t="str">
        <f t="shared" si="4"/>
        <v>NW</v>
      </c>
      <c r="S65" s="9" t="str">
        <f t="shared" si="5"/>
        <v>YAM</v>
      </c>
      <c r="T65" s="9" t="str">
        <f t="shared" si="6"/>
        <v>Babajide Ojo</v>
      </c>
      <c r="U65" t="str">
        <f t="shared" si="7"/>
        <v>May</v>
      </c>
    </row>
    <row r="66" spans="1:21" ht="14.25" customHeight="1" x14ac:dyDescent="0.25">
      <c r="A66" s="4">
        <v>65</v>
      </c>
      <c r="B66" s="5" t="s">
        <v>185</v>
      </c>
      <c r="C66" s="5" t="s">
        <v>186</v>
      </c>
      <c r="D66" s="5" t="s">
        <v>76</v>
      </c>
      <c r="E66" s="5" t="s">
        <v>58</v>
      </c>
      <c r="F66" s="6">
        <v>1.2</v>
      </c>
      <c r="G66" s="7">
        <v>45506</v>
      </c>
      <c r="H66" s="7">
        <v>45685</v>
      </c>
      <c r="I66" s="7">
        <v>45800</v>
      </c>
      <c r="J66" s="7">
        <v>45798</v>
      </c>
      <c r="K66" s="8">
        <v>2240</v>
      </c>
      <c r="L66" s="5" t="s">
        <v>30</v>
      </c>
      <c r="M66" s="8">
        <v>57000</v>
      </c>
      <c r="N66" s="9" t="str">
        <f t="shared" ref="N66:N129" si="10">IF(F66&lt;2,"Small holder",IF(F66&lt;=10,"Medium scale","Commercial"))</f>
        <v>Small holder</v>
      </c>
      <c r="O66" s="9" t="str">
        <f t="shared" ref="O66:O129" si="11">IF(J66&gt;I66,"Delayed","On Schedule")</f>
        <v>On Schedule</v>
      </c>
      <c r="P66" s="9" t="str">
        <f t="shared" ref="P66:P129" si="12">IF(AND(L66="Good",F66&gt;=2),"Loan eligible","Not eligible")</f>
        <v>Not eligible</v>
      </c>
      <c r="Q66" s="9">
        <f t="shared" ref="Q66:Q129" si="13">J66-H66</f>
        <v>113</v>
      </c>
      <c r="R66" s="9" t="str">
        <f t="shared" ref="R66:R129" si="14">LEFT(B66,2)</f>
        <v>NC</v>
      </c>
      <c r="S66" s="9" t="str">
        <f t="shared" ref="S66:S129" si="15">MID(B66,4,3)</f>
        <v>MAZ</v>
      </c>
      <c r="T66" s="9" t="str">
        <f t="shared" ref="T66:T129" si="16">TRIM(C66)</f>
        <v>Adebayo Musa</v>
      </c>
      <c r="U66" t="str">
        <f t="shared" si="7"/>
        <v>May</v>
      </c>
    </row>
    <row r="67" spans="1:21" ht="14.25" customHeight="1" x14ac:dyDescent="0.25">
      <c r="A67" s="10">
        <v>66</v>
      </c>
      <c r="B67" s="11" t="s">
        <v>187</v>
      </c>
      <c r="C67" s="11" t="s">
        <v>188</v>
      </c>
      <c r="D67" s="11" t="s">
        <v>52</v>
      </c>
      <c r="E67" s="11" t="s">
        <v>49</v>
      </c>
      <c r="F67" s="12">
        <v>1.4</v>
      </c>
      <c r="G67" s="13">
        <v>45750</v>
      </c>
      <c r="H67" s="13">
        <v>45874</v>
      </c>
      <c r="I67" s="13">
        <v>46201</v>
      </c>
      <c r="J67" s="13">
        <v>46193</v>
      </c>
      <c r="K67" s="14">
        <v>11130</v>
      </c>
      <c r="L67" s="11" t="s">
        <v>25</v>
      </c>
      <c r="M67" s="14">
        <v>81000</v>
      </c>
      <c r="N67" s="9" t="str">
        <f t="shared" si="10"/>
        <v>Small holder</v>
      </c>
      <c r="O67" s="9" t="str">
        <f t="shared" si="11"/>
        <v>On Schedule</v>
      </c>
      <c r="P67" s="9" t="str">
        <f t="shared" si="12"/>
        <v>Not eligible</v>
      </c>
      <c r="Q67" s="9">
        <f t="shared" si="13"/>
        <v>319</v>
      </c>
      <c r="R67" s="9" t="str">
        <f t="shared" si="14"/>
        <v>SE</v>
      </c>
      <c r="S67" s="9" t="str">
        <f t="shared" si="15"/>
        <v>CAS</v>
      </c>
      <c r="T67" s="9" t="str">
        <f t="shared" si="16"/>
        <v>Yetunde Ayuba</v>
      </c>
      <c r="U67" t="str">
        <f t="shared" ref="U67:U130" si="17">TEXT(J67,"MMMM")</f>
        <v>June</v>
      </c>
    </row>
    <row r="68" spans="1:21" ht="14.25" customHeight="1" x14ac:dyDescent="0.25">
      <c r="A68" s="4">
        <v>67</v>
      </c>
      <c r="B68" s="5" t="s">
        <v>189</v>
      </c>
      <c r="C68" s="5" t="s">
        <v>136</v>
      </c>
      <c r="D68" s="5" t="s">
        <v>23</v>
      </c>
      <c r="E68" s="5" t="s">
        <v>29</v>
      </c>
      <c r="F68" s="6">
        <v>1.9</v>
      </c>
      <c r="G68" s="7">
        <v>45800</v>
      </c>
      <c r="H68" s="7">
        <v>45928</v>
      </c>
      <c r="I68" s="7">
        <v>46021</v>
      </c>
      <c r="J68" s="7">
        <v>46012</v>
      </c>
      <c r="K68" s="8">
        <v>1740</v>
      </c>
      <c r="L68" s="5" t="s">
        <v>25</v>
      </c>
      <c r="M68" s="8">
        <v>77000</v>
      </c>
      <c r="N68" s="9" t="str">
        <f t="shared" si="10"/>
        <v>Small holder</v>
      </c>
      <c r="O68" s="9" t="str">
        <f t="shared" si="11"/>
        <v>On Schedule</v>
      </c>
      <c r="P68" s="9" t="str">
        <f t="shared" si="12"/>
        <v>Not eligible</v>
      </c>
      <c r="Q68" s="9">
        <f t="shared" si="13"/>
        <v>84</v>
      </c>
      <c r="R68" s="9" t="str">
        <f t="shared" si="14"/>
        <v>SS</v>
      </c>
      <c r="S68" s="9" t="str">
        <f t="shared" si="15"/>
        <v>GRN</v>
      </c>
      <c r="T68" s="9" t="str">
        <f t="shared" si="16"/>
        <v>Efe Ogundele</v>
      </c>
      <c r="U68" t="str">
        <f t="shared" si="17"/>
        <v>December</v>
      </c>
    </row>
    <row r="69" spans="1:21" ht="14.25" customHeight="1" x14ac:dyDescent="0.25">
      <c r="A69" s="10">
        <v>68</v>
      </c>
      <c r="B69" s="11" t="s">
        <v>190</v>
      </c>
      <c r="C69" s="11" t="s">
        <v>191</v>
      </c>
      <c r="D69" s="11" t="s">
        <v>23</v>
      </c>
      <c r="E69" s="11" t="s">
        <v>29</v>
      </c>
      <c r="F69" s="12">
        <v>7.9</v>
      </c>
      <c r="G69" s="13">
        <v>44977</v>
      </c>
      <c r="H69" s="13">
        <v>45137</v>
      </c>
      <c r="I69" s="13">
        <v>45250</v>
      </c>
      <c r="J69" s="13">
        <v>45269</v>
      </c>
      <c r="K69" s="14">
        <v>9210</v>
      </c>
      <c r="L69" s="11" t="s">
        <v>25</v>
      </c>
      <c r="M69" s="14">
        <v>368000</v>
      </c>
      <c r="N69" s="9" t="str">
        <f t="shared" si="10"/>
        <v>Medium scale</v>
      </c>
      <c r="O69" s="9" t="str">
        <f t="shared" si="11"/>
        <v>Delayed</v>
      </c>
      <c r="P69" s="9" t="str">
        <f t="shared" si="12"/>
        <v>Loan eligible</v>
      </c>
      <c r="Q69" s="9">
        <f t="shared" si="13"/>
        <v>132</v>
      </c>
      <c r="R69" s="9" t="str">
        <f t="shared" si="14"/>
        <v>SS</v>
      </c>
      <c r="S69" s="9" t="str">
        <f t="shared" si="15"/>
        <v>GRN</v>
      </c>
      <c r="T69" s="9" t="str">
        <f t="shared" si="16"/>
        <v>Kunle Okafor</v>
      </c>
      <c r="U69" t="str">
        <f t="shared" si="17"/>
        <v>December</v>
      </c>
    </row>
    <row r="70" spans="1:21" ht="14.25" customHeight="1" x14ac:dyDescent="0.25">
      <c r="A70" s="4">
        <v>69</v>
      </c>
      <c r="B70" s="5" t="s">
        <v>192</v>
      </c>
      <c r="C70" s="5" t="s">
        <v>193</v>
      </c>
      <c r="D70" s="5" t="s">
        <v>28</v>
      </c>
      <c r="E70" s="5" t="s">
        <v>53</v>
      </c>
      <c r="F70" s="6">
        <v>19.7</v>
      </c>
      <c r="G70" s="7">
        <v>45243</v>
      </c>
      <c r="H70" s="7">
        <v>45360</v>
      </c>
      <c r="I70" s="7">
        <v>45461</v>
      </c>
      <c r="J70" s="7">
        <v>45470</v>
      </c>
      <c r="K70" s="8">
        <v>17830</v>
      </c>
      <c r="L70" s="5" t="s">
        <v>25</v>
      </c>
      <c r="M70" s="8">
        <v>892000</v>
      </c>
      <c r="N70" s="9" t="str">
        <f t="shared" si="10"/>
        <v>Commercial</v>
      </c>
      <c r="O70" s="9" t="str">
        <f t="shared" si="11"/>
        <v>Delayed</v>
      </c>
      <c r="P70" s="9" t="str">
        <f t="shared" si="12"/>
        <v>Loan eligible</v>
      </c>
      <c r="Q70" s="9">
        <f t="shared" si="13"/>
        <v>110</v>
      </c>
      <c r="R70" s="9" t="str">
        <f t="shared" si="14"/>
        <v>NE</v>
      </c>
      <c r="S70" s="9" t="str">
        <f t="shared" si="15"/>
        <v>SOR</v>
      </c>
      <c r="T70" s="9" t="str">
        <f t="shared" si="16"/>
        <v>Osaretin Okoye</v>
      </c>
      <c r="U70" t="str">
        <f t="shared" si="17"/>
        <v>June</v>
      </c>
    </row>
    <row r="71" spans="1:21" ht="14.25" customHeight="1" x14ac:dyDescent="0.25">
      <c r="A71" s="10">
        <v>70</v>
      </c>
      <c r="B71" s="11" t="s">
        <v>194</v>
      </c>
      <c r="C71" s="11" t="s">
        <v>195</v>
      </c>
      <c r="D71" s="11" t="s">
        <v>28</v>
      </c>
      <c r="E71" s="11" t="s">
        <v>34</v>
      </c>
      <c r="F71" s="12">
        <v>4</v>
      </c>
      <c r="G71" s="13">
        <v>45771</v>
      </c>
      <c r="H71" s="13">
        <v>45899</v>
      </c>
      <c r="I71" s="13">
        <v>46236</v>
      </c>
      <c r="J71" s="13">
        <v>46258</v>
      </c>
      <c r="K71" s="14">
        <v>2370</v>
      </c>
      <c r="L71" s="11" t="s">
        <v>25</v>
      </c>
      <c r="M71" s="14">
        <v>0</v>
      </c>
      <c r="N71" s="9" t="str">
        <f t="shared" si="10"/>
        <v>Medium scale</v>
      </c>
      <c r="O71" s="9" t="str">
        <f t="shared" si="11"/>
        <v>Delayed</v>
      </c>
      <c r="P71" s="9" t="str">
        <f t="shared" si="12"/>
        <v>Loan eligible</v>
      </c>
      <c r="Q71" s="9">
        <f t="shared" si="13"/>
        <v>359</v>
      </c>
      <c r="R71" s="9" t="str">
        <f t="shared" si="14"/>
        <v>NE</v>
      </c>
      <c r="S71" s="9" t="str">
        <f t="shared" si="15"/>
        <v>COC</v>
      </c>
      <c r="T71" s="9" t="str">
        <f t="shared" si="16"/>
        <v>Chidinma Adisa</v>
      </c>
      <c r="U71" t="str">
        <f t="shared" si="17"/>
        <v>August</v>
      </c>
    </row>
    <row r="72" spans="1:21" ht="14.25" customHeight="1" x14ac:dyDescent="0.25">
      <c r="A72" s="4">
        <v>71</v>
      </c>
      <c r="B72" s="5" t="s">
        <v>196</v>
      </c>
      <c r="C72" s="5" t="s">
        <v>197</v>
      </c>
      <c r="D72" s="5" t="s">
        <v>28</v>
      </c>
      <c r="E72" s="5" t="s">
        <v>29</v>
      </c>
      <c r="F72" s="6">
        <v>2.1</v>
      </c>
      <c r="G72" s="7">
        <v>45476</v>
      </c>
      <c r="H72" s="7">
        <v>45512</v>
      </c>
      <c r="I72" s="7">
        <v>45616</v>
      </c>
      <c r="J72" s="7">
        <v>45606</v>
      </c>
      <c r="K72" s="8">
        <v>1800</v>
      </c>
      <c r="L72" s="5" t="s">
        <v>25</v>
      </c>
      <c r="M72" s="8">
        <v>107000</v>
      </c>
      <c r="N72" s="9" t="str">
        <f t="shared" si="10"/>
        <v>Medium scale</v>
      </c>
      <c r="O72" s="9" t="str">
        <f t="shared" si="11"/>
        <v>On Schedule</v>
      </c>
      <c r="P72" s="9" t="str">
        <f t="shared" si="12"/>
        <v>Loan eligible</v>
      </c>
      <c r="Q72" s="9">
        <f t="shared" si="13"/>
        <v>94</v>
      </c>
      <c r="R72" s="9" t="str">
        <f t="shared" si="14"/>
        <v>NE</v>
      </c>
      <c r="S72" s="9" t="str">
        <f t="shared" si="15"/>
        <v>GRN</v>
      </c>
      <c r="T72" s="9" t="str">
        <f t="shared" si="16"/>
        <v>Rasheed Salihu</v>
      </c>
      <c r="U72" t="str">
        <f t="shared" si="17"/>
        <v>November</v>
      </c>
    </row>
    <row r="73" spans="1:21" ht="14.25" customHeight="1" x14ac:dyDescent="0.25">
      <c r="A73" s="10">
        <v>72</v>
      </c>
      <c r="B73" s="11" t="s">
        <v>198</v>
      </c>
      <c r="C73" s="11" t="s">
        <v>199</v>
      </c>
      <c r="D73" s="11" t="s">
        <v>23</v>
      </c>
      <c r="E73" s="11" t="s">
        <v>46</v>
      </c>
      <c r="F73" s="12">
        <v>14.9</v>
      </c>
      <c r="G73" s="13">
        <v>45551</v>
      </c>
      <c r="H73" s="13">
        <v>45612</v>
      </c>
      <c r="I73" s="13">
        <v>45812</v>
      </c>
      <c r="J73" s="13">
        <v>45805</v>
      </c>
      <c r="K73" s="14">
        <v>148480</v>
      </c>
      <c r="L73" s="11" t="s">
        <v>25</v>
      </c>
      <c r="M73" s="14">
        <v>658000</v>
      </c>
      <c r="N73" s="9" t="str">
        <f t="shared" si="10"/>
        <v>Commercial</v>
      </c>
      <c r="O73" s="9" t="str">
        <f t="shared" si="11"/>
        <v>On Schedule</v>
      </c>
      <c r="P73" s="9" t="str">
        <f t="shared" si="12"/>
        <v>Loan eligible</v>
      </c>
      <c r="Q73" s="9">
        <f t="shared" si="13"/>
        <v>193</v>
      </c>
      <c r="R73" s="9" t="str">
        <f t="shared" si="14"/>
        <v>SS</v>
      </c>
      <c r="S73" s="9" t="str">
        <f t="shared" si="15"/>
        <v>YAM</v>
      </c>
      <c r="T73" s="9" t="str">
        <f t="shared" si="16"/>
        <v>Chukwuemeka Balogun</v>
      </c>
      <c r="U73" t="str">
        <f t="shared" si="17"/>
        <v>May</v>
      </c>
    </row>
    <row r="74" spans="1:21" ht="14.25" customHeight="1" x14ac:dyDescent="0.25">
      <c r="A74" s="4">
        <v>73</v>
      </c>
      <c r="B74" s="5" t="s">
        <v>200</v>
      </c>
      <c r="C74" s="5" t="s">
        <v>201</v>
      </c>
      <c r="D74" s="5" t="s">
        <v>33</v>
      </c>
      <c r="E74" s="5" t="s">
        <v>53</v>
      </c>
      <c r="F74" s="6">
        <v>3.1</v>
      </c>
      <c r="G74" s="7">
        <v>45391</v>
      </c>
      <c r="H74" s="7">
        <v>45490</v>
      </c>
      <c r="I74" s="7">
        <v>45611</v>
      </c>
      <c r="J74" s="7">
        <v>45656</v>
      </c>
      <c r="K74" s="8">
        <v>4720</v>
      </c>
      <c r="L74" s="5" t="s">
        <v>25</v>
      </c>
      <c r="M74" s="8">
        <v>138000</v>
      </c>
      <c r="N74" s="9" t="str">
        <f t="shared" si="10"/>
        <v>Medium scale</v>
      </c>
      <c r="O74" s="9" t="str">
        <f t="shared" si="11"/>
        <v>Delayed</v>
      </c>
      <c r="P74" s="9" t="str">
        <f t="shared" si="12"/>
        <v>Loan eligible</v>
      </c>
      <c r="Q74" s="9">
        <f t="shared" si="13"/>
        <v>166</v>
      </c>
      <c r="R74" s="9" t="str">
        <f t="shared" si="14"/>
        <v>NW</v>
      </c>
      <c r="S74" s="9" t="str">
        <f t="shared" si="15"/>
        <v>SOR</v>
      </c>
      <c r="T74" s="9" t="str">
        <f t="shared" si="16"/>
        <v>Nkechi Bello</v>
      </c>
      <c r="U74" t="str">
        <f t="shared" si="17"/>
        <v>December</v>
      </c>
    </row>
    <row r="75" spans="1:21" ht="14.25" customHeight="1" x14ac:dyDescent="0.25">
      <c r="A75" s="10">
        <v>74</v>
      </c>
      <c r="B75" s="11" t="s">
        <v>202</v>
      </c>
      <c r="C75" s="11" t="s">
        <v>203</v>
      </c>
      <c r="D75" s="11" t="s">
        <v>61</v>
      </c>
      <c r="E75" s="11" t="s">
        <v>24</v>
      </c>
      <c r="F75" s="12">
        <v>14.2</v>
      </c>
      <c r="G75" s="13">
        <v>45633</v>
      </c>
      <c r="H75" s="13">
        <v>45732</v>
      </c>
      <c r="I75" s="13">
        <v>45858</v>
      </c>
      <c r="J75" s="13">
        <v>45855</v>
      </c>
      <c r="K75" s="14">
        <v>51690</v>
      </c>
      <c r="L75" s="11" t="s">
        <v>25</v>
      </c>
      <c r="M75" s="14">
        <v>800000</v>
      </c>
      <c r="N75" s="9" t="str">
        <f t="shared" si="10"/>
        <v>Commercial</v>
      </c>
      <c r="O75" s="9" t="str">
        <f t="shared" si="11"/>
        <v>On Schedule</v>
      </c>
      <c r="P75" s="9" t="str">
        <f t="shared" si="12"/>
        <v>Loan eligible</v>
      </c>
      <c r="Q75" s="9">
        <f t="shared" si="13"/>
        <v>123</v>
      </c>
      <c r="R75" s="9" t="str">
        <f t="shared" si="14"/>
        <v>SW</v>
      </c>
      <c r="S75" s="9" t="str">
        <f t="shared" si="15"/>
        <v>RIC</v>
      </c>
      <c r="T75" s="9" t="str">
        <f t="shared" si="16"/>
        <v>Esther Nwachukwu</v>
      </c>
      <c r="U75" t="str">
        <f t="shared" si="17"/>
        <v>July</v>
      </c>
    </row>
    <row r="76" spans="1:21" ht="14.25" customHeight="1" x14ac:dyDescent="0.25">
      <c r="A76" s="4">
        <v>75</v>
      </c>
      <c r="B76" s="5" t="s">
        <v>204</v>
      </c>
      <c r="C76" s="5" t="s">
        <v>205</v>
      </c>
      <c r="D76" s="5" t="s">
        <v>23</v>
      </c>
      <c r="E76" s="5" t="s">
        <v>34</v>
      </c>
      <c r="F76" s="6">
        <v>24.2</v>
      </c>
      <c r="G76" s="7">
        <v>45770</v>
      </c>
      <c r="H76" s="7">
        <v>45891</v>
      </c>
      <c r="I76" s="7">
        <v>46202</v>
      </c>
      <c r="J76" s="7">
        <v>46244</v>
      </c>
      <c r="K76" s="8">
        <v>13110</v>
      </c>
      <c r="L76" s="5" t="s">
        <v>30</v>
      </c>
      <c r="M76" s="8">
        <v>0</v>
      </c>
      <c r="N76" s="9" t="str">
        <f t="shared" si="10"/>
        <v>Commercial</v>
      </c>
      <c r="O76" s="9" t="str">
        <f t="shared" si="11"/>
        <v>Delayed</v>
      </c>
      <c r="P76" s="9" t="str">
        <f t="shared" si="12"/>
        <v>Not eligible</v>
      </c>
      <c r="Q76" s="9">
        <f t="shared" si="13"/>
        <v>353</v>
      </c>
      <c r="R76" s="9" t="str">
        <f t="shared" si="14"/>
        <v>SS</v>
      </c>
      <c r="S76" s="9" t="str">
        <f t="shared" si="15"/>
        <v>COC</v>
      </c>
      <c r="T76" s="9" t="str">
        <f t="shared" si="16"/>
        <v>Emeka Onyeka</v>
      </c>
      <c r="U76" t="str">
        <f t="shared" si="17"/>
        <v>August</v>
      </c>
    </row>
    <row r="77" spans="1:21" ht="14.25" customHeight="1" x14ac:dyDescent="0.25">
      <c r="A77" s="10">
        <v>76</v>
      </c>
      <c r="B77" s="11" t="s">
        <v>206</v>
      </c>
      <c r="C77" s="11" t="s">
        <v>207</v>
      </c>
      <c r="D77" s="11" t="s">
        <v>76</v>
      </c>
      <c r="E77" s="11" t="s">
        <v>46</v>
      </c>
      <c r="F77" s="12">
        <v>6.4</v>
      </c>
      <c r="G77" s="13">
        <v>45527</v>
      </c>
      <c r="H77" s="13">
        <v>45587</v>
      </c>
      <c r="I77" s="13">
        <v>45793</v>
      </c>
      <c r="J77" s="13">
        <v>45815</v>
      </c>
      <c r="K77" s="14">
        <v>59630</v>
      </c>
      <c r="L77" s="11" t="s">
        <v>35</v>
      </c>
      <c r="M77" s="14">
        <v>309000</v>
      </c>
      <c r="N77" s="9" t="str">
        <f t="shared" si="10"/>
        <v>Medium scale</v>
      </c>
      <c r="O77" s="9" t="str">
        <f t="shared" si="11"/>
        <v>Delayed</v>
      </c>
      <c r="P77" s="9" t="str">
        <f t="shared" si="12"/>
        <v>Not eligible</v>
      </c>
      <c r="Q77" s="9">
        <f t="shared" si="13"/>
        <v>228</v>
      </c>
      <c r="R77" s="9" t="str">
        <f t="shared" si="14"/>
        <v>NC</v>
      </c>
      <c r="S77" s="9" t="str">
        <f t="shared" si="15"/>
        <v>YAM</v>
      </c>
      <c r="T77" s="9" t="str">
        <f t="shared" si="16"/>
        <v>Amaka Usman</v>
      </c>
      <c r="U77" t="str">
        <f t="shared" si="17"/>
        <v>June</v>
      </c>
    </row>
    <row r="78" spans="1:21" ht="14.25" customHeight="1" x14ac:dyDescent="0.25">
      <c r="A78" s="4">
        <v>77</v>
      </c>
      <c r="B78" s="5" t="s">
        <v>208</v>
      </c>
      <c r="C78" s="5" t="s">
        <v>209</v>
      </c>
      <c r="D78" s="5" t="s">
        <v>28</v>
      </c>
      <c r="E78" s="5" t="s">
        <v>49</v>
      </c>
      <c r="F78" s="6">
        <v>1.7</v>
      </c>
      <c r="G78" s="7">
        <v>45061</v>
      </c>
      <c r="H78" s="7">
        <v>45069</v>
      </c>
      <c r="I78" s="7">
        <v>45361</v>
      </c>
      <c r="J78" s="7">
        <v>45377</v>
      </c>
      <c r="K78" s="8">
        <v>17910</v>
      </c>
      <c r="L78" s="5" t="s">
        <v>25</v>
      </c>
      <c r="M78" s="8">
        <v>74000</v>
      </c>
      <c r="N78" s="9" t="str">
        <f t="shared" si="10"/>
        <v>Small holder</v>
      </c>
      <c r="O78" s="9" t="str">
        <f t="shared" si="11"/>
        <v>Delayed</v>
      </c>
      <c r="P78" s="9" t="str">
        <f t="shared" si="12"/>
        <v>Not eligible</v>
      </c>
      <c r="Q78" s="9">
        <f t="shared" si="13"/>
        <v>308</v>
      </c>
      <c r="R78" s="9" t="str">
        <f t="shared" si="14"/>
        <v>NE</v>
      </c>
      <c r="S78" s="9" t="str">
        <f t="shared" si="15"/>
        <v>CAS</v>
      </c>
      <c r="T78" s="9" t="str">
        <f t="shared" si="16"/>
        <v>Obioma Ogundele</v>
      </c>
      <c r="U78" t="str">
        <f t="shared" si="17"/>
        <v>March</v>
      </c>
    </row>
    <row r="79" spans="1:21" ht="14.25" customHeight="1" x14ac:dyDescent="0.25">
      <c r="A79" s="10">
        <v>78</v>
      </c>
      <c r="B79" s="11" t="s">
        <v>210</v>
      </c>
      <c r="C79" s="11" t="s">
        <v>211</v>
      </c>
      <c r="D79" s="11" t="s">
        <v>61</v>
      </c>
      <c r="E79" s="11" t="s">
        <v>24</v>
      </c>
      <c r="F79" s="12">
        <v>6.1</v>
      </c>
      <c r="G79" s="13">
        <v>45038</v>
      </c>
      <c r="H79" s="13">
        <v>45158</v>
      </c>
      <c r="I79" s="13">
        <v>45294</v>
      </c>
      <c r="J79" s="13">
        <v>45285</v>
      </c>
      <c r="K79" s="14">
        <v>13290</v>
      </c>
      <c r="L79" s="11" t="s">
        <v>35</v>
      </c>
      <c r="M79" s="14">
        <v>339000</v>
      </c>
      <c r="N79" s="9" t="str">
        <f t="shared" si="10"/>
        <v>Medium scale</v>
      </c>
      <c r="O79" s="9" t="str">
        <f t="shared" si="11"/>
        <v>On Schedule</v>
      </c>
      <c r="P79" s="9" t="str">
        <f t="shared" si="12"/>
        <v>Not eligible</v>
      </c>
      <c r="Q79" s="9">
        <f t="shared" si="13"/>
        <v>127</v>
      </c>
      <c r="R79" s="9" t="str">
        <f t="shared" si="14"/>
        <v>SW</v>
      </c>
      <c r="S79" s="9" t="str">
        <f t="shared" si="15"/>
        <v>RIC</v>
      </c>
      <c r="T79" s="9" t="str">
        <f t="shared" si="16"/>
        <v>Precious Eze</v>
      </c>
      <c r="U79" t="str">
        <f t="shared" si="17"/>
        <v>December</v>
      </c>
    </row>
    <row r="80" spans="1:21" ht="14.25" customHeight="1" x14ac:dyDescent="0.25">
      <c r="A80" s="4">
        <v>79</v>
      </c>
      <c r="B80" s="5" t="s">
        <v>212</v>
      </c>
      <c r="C80" s="5" t="s">
        <v>213</v>
      </c>
      <c r="D80" s="5" t="s">
        <v>61</v>
      </c>
      <c r="E80" s="5" t="s">
        <v>58</v>
      </c>
      <c r="F80" s="6">
        <v>0.7</v>
      </c>
      <c r="G80" s="7">
        <v>45656</v>
      </c>
      <c r="H80" s="7">
        <v>45774</v>
      </c>
      <c r="I80" s="7">
        <v>45866</v>
      </c>
      <c r="J80" s="7">
        <v>45887</v>
      </c>
      <c r="K80" s="8">
        <v>1860</v>
      </c>
      <c r="L80" s="5" t="s">
        <v>25</v>
      </c>
      <c r="M80" s="8">
        <v>41000</v>
      </c>
      <c r="N80" s="9" t="str">
        <f t="shared" si="10"/>
        <v>Small holder</v>
      </c>
      <c r="O80" s="9" t="str">
        <f t="shared" si="11"/>
        <v>Delayed</v>
      </c>
      <c r="P80" s="9" t="str">
        <f t="shared" si="12"/>
        <v>Not eligible</v>
      </c>
      <c r="Q80" s="9">
        <f t="shared" si="13"/>
        <v>113</v>
      </c>
      <c r="R80" s="9" t="str">
        <f t="shared" si="14"/>
        <v>SW</v>
      </c>
      <c r="S80" s="9" t="str">
        <f t="shared" si="15"/>
        <v>MAZ</v>
      </c>
      <c r="T80" s="9" t="str">
        <f t="shared" si="16"/>
        <v>Emeka Ndubuisi</v>
      </c>
      <c r="U80" t="str">
        <f t="shared" si="17"/>
        <v>August</v>
      </c>
    </row>
    <row r="81" spans="1:21" ht="14.25" customHeight="1" x14ac:dyDescent="0.25">
      <c r="A81" s="10">
        <v>80</v>
      </c>
      <c r="B81" s="11" t="s">
        <v>214</v>
      </c>
      <c r="C81" s="11" t="s">
        <v>215</v>
      </c>
      <c r="D81" s="11" t="s">
        <v>52</v>
      </c>
      <c r="E81" s="11" t="s">
        <v>34</v>
      </c>
      <c r="F81" s="12">
        <v>1.3</v>
      </c>
      <c r="G81" s="13">
        <v>45028</v>
      </c>
      <c r="H81" s="13">
        <v>45062</v>
      </c>
      <c r="I81" s="13">
        <v>45389</v>
      </c>
      <c r="J81" s="13">
        <v>45386</v>
      </c>
      <c r="K81" s="14">
        <v>620</v>
      </c>
      <c r="L81" s="11" t="s">
        <v>30</v>
      </c>
      <c r="M81" s="14">
        <v>80000</v>
      </c>
      <c r="N81" s="9" t="str">
        <f t="shared" si="10"/>
        <v>Small holder</v>
      </c>
      <c r="O81" s="9" t="str">
        <f t="shared" si="11"/>
        <v>On Schedule</v>
      </c>
      <c r="P81" s="9" t="str">
        <f t="shared" si="12"/>
        <v>Not eligible</v>
      </c>
      <c r="Q81" s="9">
        <f t="shared" si="13"/>
        <v>324</v>
      </c>
      <c r="R81" s="9" t="str">
        <f t="shared" si="14"/>
        <v>SE</v>
      </c>
      <c r="S81" s="9" t="str">
        <f t="shared" si="15"/>
        <v>COC</v>
      </c>
      <c r="T81" s="9" t="str">
        <f t="shared" si="16"/>
        <v>Yusuf Ekwueme</v>
      </c>
      <c r="U81" t="str">
        <f t="shared" si="17"/>
        <v>April</v>
      </c>
    </row>
    <row r="82" spans="1:21" ht="14.25" customHeight="1" x14ac:dyDescent="0.25">
      <c r="A82" s="4">
        <v>81</v>
      </c>
      <c r="B82" s="5" t="s">
        <v>216</v>
      </c>
      <c r="C82" s="5" t="s">
        <v>217</v>
      </c>
      <c r="D82" s="5" t="s">
        <v>76</v>
      </c>
      <c r="E82" s="5" t="s">
        <v>29</v>
      </c>
      <c r="F82" s="6">
        <v>1.8</v>
      </c>
      <c r="G82" s="7">
        <v>44995</v>
      </c>
      <c r="H82" s="7">
        <v>45023</v>
      </c>
      <c r="I82" s="7">
        <v>45139</v>
      </c>
      <c r="J82" s="7">
        <v>45133</v>
      </c>
      <c r="K82" s="8">
        <v>1360</v>
      </c>
      <c r="L82" s="5" t="s">
        <v>35</v>
      </c>
      <c r="M82" s="8">
        <v>102000</v>
      </c>
      <c r="N82" s="9" t="str">
        <f t="shared" si="10"/>
        <v>Small holder</v>
      </c>
      <c r="O82" s="9" t="str">
        <f t="shared" si="11"/>
        <v>On Schedule</v>
      </c>
      <c r="P82" s="9" t="str">
        <f t="shared" si="12"/>
        <v>Not eligible</v>
      </c>
      <c r="Q82" s="9">
        <f t="shared" si="13"/>
        <v>110</v>
      </c>
      <c r="R82" s="9" t="str">
        <f t="shared" si="14"/>
        <v>NC</v>
      </c>
      <c r="S82" s="9" t="str">
        <f t="shared" si="15"/>
        <v>GRN</v>
      </c>
      <c r="T82" s="9" t="str">
        <f t="shared" si="16"/>
        <v>Aisha Ogundele</v>
      </c>
      <c r="U82" t="str">
        <f t="shared" si="17"/>
        <v>July</v>
      </c>
    </row>
    <row r="83" spans="1:21" ht="14.25" customHeight="1" x14ac:dyDescent="0.25">
      <c r="A83" s="10">
        <v>82</v>
      </c>
      <c r="B83" s="11" t="s">
        <v>218</v>
      </c>
      <c r="C83" s="11" t="s">
        <v>219</v>
      </c>
      <c r="D83" s="11" t="s">
        <v>52</v>
      </c>
      <c r="E83" s="11" t="s">
        <v>34</v>
      </c>
      <c r="F83" s="12">
        <v>9.4</v>
      </c>
      <c r="G83" s="13">
        <v>45360</v>
      </c>
      <c r="H83" s="13">
        <v>45378</v>
      </c>
      <c r="I83" s="13">
        <v>45714</v>
      </c>
      <c r="J83" s="13">
        <v>45737</v>
      </c>
      <c r="K83" s="14">
        <v>3580</v>
      </c>
      <c r="L83" s="11" t="s">
        <v>25</v>
      </c>
      <c r="M83" s="14">
        <v>0</v>
      </c>
      <c r="N83" s="9" t="str">
        <f t="shared" si="10"/>
        <v>Medium scale</v>
      </c>
      <c r="O83" s="9" t="str">
        <f t="shared" si="11"/>
        <v>Delayed</v>
      </c>
      <c r="P83" s="9" t="str">
        <f t="shared" si="12"/>
        <v>Loan eligible</v>
      </c>
      <c r="Q83" s="9">
        <f t="shared" si="13"/>
        <v>359</v>
      </c>
      <c r="R83" s="9" t="str">
        <f t="shared" si="14"/>
        <v>SE</v>
      </c>
      <c r="S83" s="9" t="str">
        <f t="shared" si="15"/>
        <v>COC</v>
      </c>
      <c r="T83" s="9" t="str">
        <f t="shared" si="16"/>
        <v>Adesuwa Bello</v>
      </c>
      <c r="U83" t="str">
        <f t="shared" si="17"/>
        <v>March</v>
      </c>
    </row>
    <row r="84" spans="1:21" ht="14.25" customHeight="1" x14ac:dyDescent="0.25">
      <c r="A84" s="4">
        <v>83</v>
      </c>
      <c r="B84" s="5" t="s">
        <v>220</v>
      </c>
      <c r="C84" s="5" t="s">
        <v>221</v>
      </c>
      <c r="D84" s="5" t="s">
        <v>61</v>
      </c>
      <c r="E84" s="5" t="s">
        <v>46</v>
      </c>
      <c r="F84" s="6">
        <v>2.9</v>
      </c>
      <c r="G84" s="7">
        <v>45212</v>
      </c>
      <c r="H84" s="7">
        <v>45363</v>
      </c>
      <c r="I84" s="7">
        <v>45550</v>
      </c>
      <c r="J84" s="7">
        <v>45586</v>
      </c>
      <c r="K84" s="8">
        <v>29810</v>
      </c>
      <c r="L84" s="5" t="s">
        <v>30</v>
      </c>
      <c r="M84" s="8">
        <v>172000</v>
      </c>
      <c r="N84" s="9" t="str">
        <f t="shared" si="10"/>
        <v>Medium scale</v>
      </c>
      <c r="O84" s="9" t="str">
        <f t="shared" si="11"/>
        <v>Delayed</v>
      </c>
      <c r="P84" s="9" t="str">
        <f t="shared" si="12"/>
        <v>Not eligible</v>
      </c>
      <c r="Q84" s="9">
        <f t="shared" si="13"/>
        <v>223</v>
      </c>
      <c r="R84" s="9" t="str">
        <f t="shared" si="14"/>
        <v>SW</v>
      </c>
      <c r="S84" s="9" t="str">
        <f t="shared" si="15"/>
        <v>YAM</v>
      </c>
      <c r="T84" s="9" t="str">
        <f t="shared" si="16"/>
        <v>Rasheed Mohammed</v>
      </c>
      <c r="U84" t="str">
        <f t="shared" si="17"/>
        <v>October</v>
      </c>
    </row>
    <row r="85" spans="1:21" ht="14.25" customHeight="1" x14ac:dyDescent="0.25">
      <c r="A85" s="10">
        <v>84</v>
      </c>
      <c r="B85" s="11" t="s">
        <v>222</v>
      </c>
      <c r="C85" s="11" t="s">
        <v>223</v>
      </c>
      <c r="D85" s="11" t="s">
        <v>33</v>
      </c>
      <c r="E85" s="11" t="s">
        <v>53</v>
      </c>
      <c r="F85" s="12">
        <v>9.3000000000000007</v>
      </c>
      <c r="G85" s="13">
        <v>45286</v>
      </c>
      <c r="H85" s="13">
        <v>45292</v>
      </c>
      <c r="I85" s="13">
        <v>45397</v>
      </c>
      <c r="J85" s="13">
        <v>45434</v>
      </c>
      <c r="K85" s="14">
        <v>12210</v>
      </c>
      <c r="L85" s="11" t="s">
        <v>25</v>
      </c>
      <c r="M85" s="14">
        <v>643000</v>
      </c>
      <c r="N85" s="9" t="str">
        <f t="shared" si="10"/>
        <v>Medium scale</v>
      </c>
      <c r="O85" s="9" t="str">
        <f t="shared" si="11"/>
        <v>Delayed</v>
      </c>
      <c r="P85" s="9" t="str">
        <f t="shared" si="12"/>
        <v>Loan eligible</v>
      </c>
      <c r="Q85" s="9">
        <f t="shared" si="13"/>
        <v>142</v>
      </c>
      <c r="R85" s="9" t="str">
        <f t="shared" si="14"/>
        <v>NW</v>
      </c>
      <c r="S85" s="9" t="str">
        <f t="shared" si="15"/>
        <v>SOR</v>
      </c>
      <c r="T85" s="9" t="str">
        <f t="shared" si="16"/>
        <v>Chinedu Sani</v>
      </c>
      <c r="U85" t="str">
        <f t="shared" si="17"/>
        <v>May</v>
      </c>
    </row>
    <row r="86" spans="1:21" ht="14.25" customHeight="1" x14ac:dyDescent="0.25">
      <c r="A86" s="4">
        <v>85</v>
      </c>
      <c r="B86" s="5" t="s">
        <v>224</v>
      </c>
      <c r="C86" s="5" t="s">
        <v>225</v>
      </c>
      <c r="D86" s="5" t="s">
        <v>33</v>
      </c>
      <c r="E86" s="5" t="s">
        <v>46</v>
      </c>
      <c r="F86" s="6">
        <v>0.9</v>
      </c>
      <c r="G86" s="7">
        <v>45259</v>
      </c>
      <c r="H86" s="7">
        <v>45409</v>
      </c>
      <c r="I86" s="7">
        <v>45608</v>
      </c>
      <c r="J86" s="7">
        <v>45608</v>
      </c>
      <c r="K86" s="8">
        <v>5710</v>
      </c>
      <c r="L86" s="5" t="s">
        <v>35</v>
      </c>
      <c r="M86" s="8">
        <v>0</v>
      </c>
      <c r="N86" s="9" t="str">
        <f t="shared" si="10"/>
        <v>Small holder</v>
      </c>
      <c r="O86" s="9" t="str">
        <f t="shared" si="11"/>
        <v>On Schedule</v>
      </c>
      <c r="P86" s="9" t="str">
        <f t="shared" si="12"/>
        <v>Not eligible</v>
      </c>
      <c r="Q86" s="9">
        <f t="shared" si="13"/>
        <v>199</v>
      </c>
      <c r="R86" s="9" t="str">
        <f t="shared" si="14"/>
        <v>NW</v>
      </c>
      <c r="S86" s="9" t="str">
        <f t="shared" si="15"/>
        <v>YAM</v>
      </c>
      <c r="T86" s="9" t="str">
        <f t="shared" si="16"/>
        <v>Yusuf Uzoma</v>
      </c>
      <c r="U86" t="str">
        <f t="shared" si="17"/>
        <v>November</v>
      </c>
    </row>
    <row r="87" spans="1:21" ht="14.25" customHeight="1" x14ac:dyDescent="0.25">
      <c r="A87" s="10">
        <v>86</v>
      </c>
      <c r="B87" s="11" t="s">
        <v>226</v>
      </c>
      <c r="C87" s="11" t="s">
        <v>227</v>
      </c>
      <c r="D87" s="11" t="s">
        <v>33</v>
      </c>
      <c r="E87" s="11" t="s">
        <v>53</v>
      </c>
      <c r="F87" s="12">
        <v>0.9</v>
      </c>
      <c r="G87" s="13">
        <v>45700</v>
      </c>
      <c r="H87" s="13">
        <v>45836</v>
      </c>
      <c r="I87" s="13">
        <v>45939</v>
      </c>
      <c r="J87" s="13">
        <v>45938</v>
      </c>
      <c r="K87" s="14">
        <v>940</v>
      </c>
      <c r="L87" s="11" t="s">
        <v>35</v>
      </c>
      <c r="M87" s="14">
        <v>54000</v>
      </c>
      <c r="N87" s="9" t="str">
        <f t="shared" si="10"/>
        <v>Small holder</v>
      </c>
      <c r="O87" s="9" t="str">
        <f t="shared" si="11"/>
        <v>On Schedule</v>
      </c>
      <c r="P87" s="9" t="str">
        <f t="shared" si="12"/>
        <v>Not eligible</v>
      </c>
      <c r="Q87" s="9">
        <f t="shared" si="13"/>
        <v>102</v>
      </c>
      <c r="R87" s="9" t="str">
        <f t="shared" si="14"/>
        <v>NW</v>
      </c>
      <c r="S87" s="9" t="str">
        <f t="shared" si="15"/>
        <v>SOR</v>
      </c>
      <c r="T87" s="9" t="str">
        <f t="shared" si="16"/>
        <v>Hauwa Igwe</v>
      </c>
      <c r="U87" t="str">
        <f t="shared" si="17"/>
        <v>October</v>
      </c>
    </row>
    <row r="88" spans="1:21" ht="14.25" customHeight="1" x14ac:dyDescent="0.25">
      <c r="A88" s="4">
        <v>87</v>
      </c>
      <c r="B88" s="5" t="s">
        <v>228</v>
      </c>
      <c r="C88" s="5" t="s">
        <v>229</v>
      </c>
      <c r="D88" s="5" t="s">
        <v>33</v>
      </c>
      <c r="E88" s="5" t="s">
        <v>46</v>
      </c>
      <c r="F88" s="6">
        <v>0.8</v>
      </c>
      <c r="G88" s="7">
        <v>45067</v>
      </c>
      <c r="H88" s="7">
        <v>45137</v>
      </c>
      <c r="I88" s="7">
        <v>45326</v>
      </c>
      <c r="J88" s="7">
        <v>45326</v>
      </c>
      <c r="K88" s="8">
        <v>6390</v>
      </c>
      <c r="L88" s="5" t="s">
        <v>25</v>
      </c>
      <c r="M88" s="8">
        <v>0</v>
      </c>
      <c r="N88" s="9" t="str">
        <f t="shared" si="10"/>
        <v>Small holder</v>
      </c>
      <c r="O88" s="9" t="str">
        <f t="shared" si="11"/>
        <v>On Schedule</v>
      </c>
      <c r="P88" s="9" t="str">
        <f t="shared" si="12"/>
        <v>Not eligible</v>
      </c>
      <c r="Q88" s="9">
        <f t="shared" si="13"/>
        <v>189</v>
      </c>
      <c r="R88" s="9" t="str">
        <f t="shared" si="14"/>
        <v>NW</v>
      </c>
      <c r="S88" s="9" t="str">
        <f t="shared" si="15"/>
        <v>YAM</v>
      </c>
      <c r="T88" s="9" t="str">
        <f t="shared" si="16"/>
        <v>Halima Ekwueme</v>
      </c>
      <c r="U88" t="str">
        <f t="shared" si="17"/>
        <v>February</v>
      </c>
    </row>
    <row r="89" spans="1:21" ht="14.25" customHeight="1" x14ac:dyDescent="0.25">
      <c r="A89" s="10">
        <v>88</v>
      </c>
      <c r="B89" s="11" t="s">
        <v>230</v>
      </c>
      <c r="C89" s="11" t="s">
        <v>231</v>
      </c>
      <c r="D89" s="11" t="s">
        <v>52</v>
      </c>
      <c r="E89" s="11" t="s">
        <v>46</v>
      </c>
      <c r="F89" s="12">
        <v>2.6</v>
      </c>
      <c r="G89" s="13">
        <v>45809</v>
      </c>
      <c r="H89" s="13">
        <v>45824</v>
      </c>
      <c r="I89" s="13">
        <v>46017</v>
      </c>
      <c r="J89" s="13">
        <v>46016</v>
      </c>
      <c r="K89" s="14">
        <v>25320</v>
      </c>
      <c r="L89" s="11" t="s">
        <v>35</v>
      </c>
      <c r="M89" s="14">
        <v>159000</v>
      </c>
      <c r="N89" s="9" t="str">
        <f t="shared" si="10"/>
        <v>Medium scale</v>
      </c>
      <c r="O89" s="9" t="str">
        <f t="shared" si="11"/>
        <v>On Schedule</v>
      </c>
      <c r="P89" s="9" t="str">
        <f t="shared" si="12"/>
        <v>Not eligible</v>
      </c>
      <c r="Q89" s="9">
        <f t="shared" si="13"/>
        <v>192</v>
      </c>
      <c r="R89" s="9" t="str">
        <f t="shared" si="14"/>
        <v>SE</v>
      </c>
      <c r="S89" s="9" t="str">
        <f t="shared" si="15"/>
        <v>YAM</v>
      </c>
      <c r="T89" s="9" t="str">
        <f t="shared" si="16"/>
        <v>Ekene Salihu</v>
      </c>
      <c r="U89" t="str">
        <f t="shared" si="17"/>
        <v>December</v>
      </c>
    </row>
    <row r="90" spans="1:21" ht="14.25" customHeight="1" x14ac:dyDescent="0.25">
      <c r="A90" s="4">
        <v>89</v>
      </c>
      <c r="B90" s="5" t="s">
        <v>232</v>
      </c>
      <c r="C90" s="5" t="s">
        <v>233</v>
      </c>
      <c r="D90" s="5" t="s">
        <v>61</v>
      </c>
      <c r="E90" s="5" t="s">
        <v>53</v>
      </c>
      <c r="F90" s="6">
        <v>1.8</v>
      </c>
      <c r="G90" s="7">
        <v>45398</v>
      </c>
      <c r="H90" s="7">
        <v>45495</v>
      </c>
      <c r="I90" s="7">
        <v>45597</v>
      </c>
      <c r="J90" s="7">
        <v>45596</v>
      </c>
      <c r="K90" s="8">
        <v>1830</v>
      </c>
      <c r="L90" s="5" t="s">
        <v>35</v>
      </c>
      <c r="M90" s="8">
        <v>93000</v>
      </c>
      <c r="N90" s="9" t="str">
        <f t="shared" si="10"/>
        <v>Small holder</v>
      </c>
      <c r="O90" s="9" t="str">
        <f t="shared" si="11"/>
        <v>On Schedule</v>
      </c>
      <c r="P90" s="9" t="str">
        <f t="shared" si="12"/>
        <v>Not eligible</v>
      </c>
      <c r="Q90" s="9">
        <f t="shared" si="13"/>
        <v>101</v>
      </c>
      <c r="R90" s="9" t="str">
        <f t="shared" si="14"/>
        <v>SW</v>
      </c>
      <c r="S90" s="9" t="str">
        <f t="shared" si="15"/>
        <v>SOR</v>
      </c>
      <c r="T90" s="9" t="str">
        <f t="shared" si="16"/>
        <v>Kelechi Onyeka</v>
      </c>
      <c r="U90" t="str">
        <f t="shared" si="17"/>
        <v>October</v>
      </c>
    </row>
    <row r="91" spans="1:21" ht="14.25" customHeight="1" x14ac:dyDescent="0.25">
      <c r="A91" s="10">
        <v>90</v>
      </c>
      <c r="B91" s="11" t="s">
        <v>234</v>
      </c>
      <c r="C91" s="11" t="s">
        <v>235</v>
      </c>
      <c r="D91" s="11" t="s">
        <v>76</v>
      </c>
      <c r="E91" s="11" t="s">
        <v>34</v>
      </c>
      <c r="F91" s="12">
        <v>1.4</v>
      </c>
      <c r="G91" s="13">
        <v>45470</v>
      </c>
      <c r="H91" s="13">
        <v>45605</v>
      </c>
      <c r="I91" s="13">
        <v>45929</v>
      </c>
      <c r="J91" s="13">
        <v>45952</v>
      </c>
      <c r="K91" s="14">
        <v>640</v>
      </c>
      <c r="L91" s="11" t="s">
        <v>30</v>
      </c>
      <c r="M91" s="14">
        <v>62000</v>
      </c>
      <c r="N91" s="9" t="str">
        <f t="shared" si="10"/>
        <v>Small holder</v>
      </c>
      <c r="O91" s="9" t="str">
        <f t="shared" si="11"/>
        <v>Delayed</v>
      </c>
      <c r="P91" s="9" t="str">
        <f t="shared" si="12"/>
        <v>Not eligible</v>
      </c>
      <c r="Q91" s="9">
        <f t="shared" si="13"/>
        <v>347</v>
      </c>
      <c r="R91" s="9" t="str">
        <f t="shared" si="14"/>
        <v>NC</v>
      </c>
      <c r="S91" s="9" t="str">
        <f t="shared" si="15"/>
        <v>COC</v>
      </c>
      <c r="T91" s="9" t="str">
        <f t="shared" si="16"/>
        <v>Yetunde Aliyu</v>
      </c>
      <c r="U91" t="str">
        <f t="shared" si="17"/>
        <v>October</v>
      </c>
    </row>
    <row r="92" spans="1:21" ht="14.25" customHeight="1" x14ac:dyDescent="0.25">
      <c r="A92" s="4">
        <v>91</v>
      </c>
      <c r="B92" s="5" t="s">
        <v>236</v>
      </c>
      <c r="C92" s="5" t="s">
        <v>237</v>
      </c>
      <c r="D92" s="5" t="s">
        <v>33</v>
      </c>
      <c r="E92" s="5" t="s">
        <v>49</v>
      </c>
      <c r="F92" s="6">
        <v>1.6</v>
      </c>
      <c r="G92" s="7">
        <v>45004</v>
      </c>
      <c r="H92" s="7">
        <v>45054</v>
      </c>
      <c r="I92" s="7">
        <v>45384</v>
      </c>
      <c r="J92" s="7">
        <v>45416</v>
      </c>
      <c r="K92" s="8">
        <v>15650</v>
      </c>
      <c r="L92" s="5" t="s">
        <v>35</v>
      </c>
      <c r="M92" s="8">
        <v>97000</v>
      </c>
      <c r="N92" s="9" t="str">
        <f t="shared" si="10"/>
        <v>Small holder</v>
      </c>
      <c r="O92" s="9" t="str">
        <f t="shared" si="11"/>
        <v>Delayed</v>
      </c>
      <c r="P92" s="9" t="str">
        <f t="shared" si="12"/>
        <v>Not eligible</v>
      </c>
      <c r="Q92" s="9">
        <f t="shared" si="13"/>
        <v>362</v>
      </c>
      <c r="R92" s="9" t="str">
        <f t="shared" si="14"/>
        <v>NW</v>
      </c>
      <c r="S92" s="9" t="str">
        <f t="shared" si="15"/>
        <v>CAS</v>
      </c>
      <c r="T92" s="9" t="str">
        <f t="shared" si="16"/>
        <v>Folake Abubakar</v>
      </c>
      <c r="U92" t="str">
        <f t="shared" si="17"/>
        <v>May</v>
      </c>
    </row>
    <row r="93" spans="1:21" ht="14.25" customHeight="1" x14ac:dyDescent="0.25">
      <c r="A93" s="10">
        <v>92</v>
      </c>
      <c r="B93" s="11" t="s">
        <v>238</v>
      </c>
      <c r="C93" s="11" t="s">
        <v>239</v>
      </c>
      <c r="D93" s="11" t="s">
        <v>52</v>
      </c>
      <c r="E93" s="11" t="s">
        <v>34</v>
      </c>
      <c r="F93" s="12">
        <v>1.1000000000000001</v>
      </c>
      <c r="G93" s="13">
        <v>45237</v>
      </c>
      <c r="H93" s="13">
        <v>45312</v>
      </c>
      <c r="I93" s="13">
        <v>45619</v>
      </c>
      <c r="J93" s="13">
        <v>45618</v>
      </c>
      <c r="K93" s="14">
        <v>490</v>
      </c>
      <c r="L93" s="11" t="s">
        <v>25</v>
      </c>
      <c r="M93" s="14">
        <v>0</v>
      </c>
      <c r="N93" s="9" t="str">
        <f t="shared" si="10"/>
        <v>Small holder</v>
      </c>
      <c r="O93" s="9" t="str">
        <f t="shared" si="11"/>
        <v>On Schedule</v>
      </c>
      <c r="P93" s="9" t="str">
        <f t="shared" si="12"/>
        <v>Not eligible</v>
      </c>
      <c r="Q93" s="9">
        <f t="shared" si="13"/>
        <v>306</v>
      </c>
      <c r="R93" s="9" t="str">
        <f t="shared" si="14"/>
        <v>SE</v>
      </c>
      <c r="S93" s="9" t="str">
        <f t="shared" si="15"/>
        <v>COC</v>
      </c>
      <c r="T93" s="9" t="str">
        <f t="shared" si="16"/>
        <v>Kabiru Garba</v>
      </c>
      <c r="U93" t="str">
        <f t="shared" si="17"/>
        <v>November</v>
      </c>
    </row>
    <row r="94" spans="1:21" ht="14.25" customHeight="1" x14ac:dyDescent="0.25">
      <c r="A94" s="4">
        <v>93</v>
      </c>
      <c r="B94" s="5" t="s">
        <v>240</v>
      </c>
      <c r="C94" s="5" t="s">
        <v>241</v>
      </c>
      <c r="D94" s="5" t="s">
        <v>76</v>
      </c>
      <c r="E94" s="5" t="s">
        <v>24</v>
      </c>
      <c r="F94" s="6">
        <v>1.1000000000000001</v>
      </c>
      <c r="G94" s="7">
        <v>45494</v>
      </c>
      <c r="H94" s="7">
        <v>45509</v>
      </c>
      <c r="I94" s="7">
        <v>45643</v>
      </c>
      <c r="J94" s="7">
        <v>45680</v>
      </c>
      <c r="K94" s="8">
        <v>3600</v>
      </c>
      <c r="L94" s="5" t="s">
        <v>25</v>
      </c>
      <c r="M94" s="8">
        <v>49000</v>
      </c>
      <c r="N94" s="9" t="str">
        <f t="shared" si="10"/>
        <v>Small holder</v>
      </c>
      <c r="O94" s="9" t="str">
        <f t="shared" si="11"/>
        <v>Delayed</v>
      </c>
      <c r="P94" s="9" t="str">
        <f t="shared" si="12"/>
        <v>Not eligible</v>
      </c>
      <c r="Q94" s="9">
        <f t="shared" si="13"/>
        <v>171</v>
      </c>
      <c r="R94" s="9" t="str">
        <f t="shared" si="14"/>
        <v>NC</v>
      </c>
      <c r="S94" s="9" t="str">
        <f t="shared" si="15"/>
        <v>RIC</v>
      </c>
      <c r="T94" s="9" t="str">
        <f t="shared" si="16"/>
        <v>Morayo Yakubu</v>
      </c>
      <c r="U94" t="str">
        <f t="shared" si="17"/>
        <v>January</v>
      </c>
    </row>
    <row r="95" spans="1:21" ht="14.25" customHeight="1" x14ac:dyDescent="0.25">
      <c r="A95" s="10">
        <v>94</v>
      </c>
      <c r="B95" s="11" t="s">
        <v>242</v>
      </c>
      <c r="C95" s="11" t="s">
        <v>243</v>
      </c>
      <c r="D95" s="11" t="s">
        <v>33</v>
      </c>
      <c r="E95" s="11" t="s">
        <v>66</v>
      </c>
      <c r="F95" s="12">
        <v>1.4</v>
      </c>
      <c r="G95" s="13">
        <v>44967</v>
      </c>
      <c r="H95" s="13">
        <v>45035</v>
      </c>
      <c r="I95" s="13">
        <v>45134</v>
      </c>
      <c r="J95" s="13">
        <v>45168</v>
      </c>
      <c r="K95" s="14">
        <v>1280</v>
      </c>
      <c r="L95" s="11" t="s">
        <v>25</v>
      </c>
      <c r="M95" s="14">
        <v>68000</v>
      </c>
      <c r="N95" s="9" t="str">
        <f t="shared" si="10"/>
        <v>Small holder</v>
      </c>
      <c r="O95" s="9" t="str">
        <f t="shared" si="11"/>
        <v>Delayed</v>
      </c>
      <c r="P95" s="9" t="str">
        <f t="shared" si="12"/>
        <v>Not eligible</v>
      </c>
      <c r="Q95" s="9">
        <f t="shared" si="13"/>
        <v>133</v>
      </c>
      <c r="R95" s="9" t="str">
        <f t="shared" si="14"/>
        <v>NW</v>
      </c>
      <c r="S95" s="9" t="str">
        <f t="shared" si="15"/>
        <v>MIL</v>
      </c>
      <c r="T95" s="9" t="str">
        <f t="shared" si="16"/>
        <v>Chiamaka Aliyu</v>
      </c>
      <c r="U95" t="str">
        <f t="shared" si="17"/>
        <v>August</v>
      </c>
    </row>
    <row r="96" spans="1:21" ht="14.25" customHeight="1" x14ac:dyDescent="0.25">
      <c r="A96" s="4">
        <v>95</v>
      </c>
      <c r="B96" s="5" t="s">
        <v>244</v>
      </c>
      <c r="C96" s="5" t="s">
        <v>245</v>
      </c>
      <c r="D96" s="5" t="s">
        <v>61</v>
      </c>
      <c r="E96" s="5" t="s">
        <v>34</v>
      </c>
      <c r="F96" s="6">
        <v>0.6</v>
      </c>
      <c r="G96" s="7">
        <v>45621</v>
      </c>
      <c r="H96" s="7">
        <v>45724</v>
      </c>
      <c r="I96" s="7">
        <v>46060</v>
      </c>
      <c r="J96" s="7">
        <v>46050</v>
      </c>
      <c r="K96" s="8">
        <v>380</v>
      </c>
      <c r="L96" s="5" t="s">
        <v>35</v>
      </c>
      <c r="M96" s="8">
        <v>0</v>
      </c>
      <c r="N96" s="9" t="str">
        <f t="shared" si="10"/>
        <v>Small holder</v>
      </c>
      <c r="O96" s="9" t="str">
        <f t="shared" si="11"/>
        <v>On Schedule</v>
      </c>
      <c r="P96" s="9" t="str">
        <f t="shared" si="12"/>
        <v>Not eligible</v>
      </c>
      <c r="Q96" s="9">
        <f t="shared" si="13"/>
        <v>326</v>
      </c>
      <c r="R96" s="9" t="str">
        <f t="shared" si="14"/>
        <v>SW</v>
      </c>
      <c r="S96" s="9" t="str">
        <f t="shared" si="15"/>
        <v>COC</v>
      </c>
      <c r="T96" s="9" t="str">
        <f t="shared" si="16"/>
        <v>Osaretin Ekwueme</v>
      </c>
      <c r="U96" t="str">
        <f t="shared" si="17"/>
        <v>January</v>
      </c>
    </row>
    <row r="97" spans="1:21" ht="14.25" customHeight="1" x14ac:dyDescent="0.25">
      <c r="A97" s="10">
        <v>96</v>
      </c>
      <c r="B97" s="11" t="s">
        <v>246</v>
      </c>
      <c r="C97" s="11" t="s">
        <v>247</v>
      </c>
      <c r="D97" s="11" t="s">
        <v>33</v>
      </c>
      <c r="E97" s="11" t="s">
        <v>49</v>
      </c>
      <c r="F97" s="12">
        <v>7.2</v>
      </c>
      <c r="G97" s="13">
        <v>45059</v>
      </c>
      <c r="H97" s="13">
        <v>45216</v>
      </c>
      <c r="I97" s="13">
        <v>45531</v>
      </c>
      <c r="J97" s="13">
        <v>45551</v>
      </c>
      <c r="K97" s="14">
        <v>74550</v>
      </c>
      <c r="L97" s="11" t="s">
        <v>35</v>
      </c>
      <c r="M97" s="14">
        <v>316000</v>
      </c>
      <c r="N97" s="9" t="str">
        <f t="shared" si="10"/>
        <v>Medium scale</v>
      </c>
      <c r="O97" s="9" t="str">
        <f t="shared" si="11"/>
        <v>Delayed</v>
      </c>
      <c r="P97" s="9" t="str">
        <f t="shared" si="12"/>
        <v>Not eligible</v>
      </c>
      <c r="Q97" s="9">
        <f t="shared" si="13"/>
        <v>335</v>
      </c>
      <c r="R97" s="9" t="str">
        <f t="shared" si="14"/>
        <v>NW</v>
      </c>
      <c r="S97" s="9" t="str">
        <f t="shared" si="15"/>
        <v>CAS</v>
      </c>
      <c r="T97" s="9" t="str">
        <f t="shared" si="16"/>
        <v>Rukayya Musa</v>
      </c>
      <c r="U97" t="str">
        <f t="shared" si="17"/>
        <v>September</v>
      </c>
    </row>
    <row r="98" spans="1:21" ht="14.25" customHeight="1" x14ac:dyDescent="0.25">
      <c r="A98" s="4">
        <v>97</v>
      </c>
      <c r="B98" s="5" t="s">
        <v>248</v>
      </c>
      <c r="C98" s="5" t="s">
        <v>249</v>
      </c>
      <c r="D98" s="5" t="s">
        <v>23</v>
      </c>
      <c r="E98" s="5" t="s">
        <v>24</v>
      </c>
      <c r="F98" s="6">
        <v>0.9</v>
      </c>
      <c r="G98" s="7">
        <v>45146</v>
      </c>
      <c r="H98" s="7">
        <v>45238</v>
      </c>
      <c r="I98" s="7">
        <v>45388</v>
      </c>
      <c r="J98" s="7">
        <v>45401</v>
      </c>
      <c r="K98" s="8">
        <v>2260</v>
      </c>
      <c r="L98" s="5" t="s">
        <v>25</v>
      </c>
      <c r="M98" s="8">
        <v>0</v>
      </c>
      <c r="N98" s="9" t="str">
        <f t="shared" si="10"/>
        <v>Small holder</v>
      </c>
      <c r="O98" s="9" t="str">
        <f t="shared" si="11"/>
        <v>Delayed</v>
      </c>
      <c r="P98" s="9" t="str">
        <f t="shared" si="12"/>
        <v>Not eligible</v>
      </c>
      <c r="Q98" s="9">
        <f t="shared" si="13"/>
        <v>163</v>
      </c>
      <c r="R98" s="9" t="str">
        <f t="shared" si="14"/>
        <v>SS</v>
      </c>
      <c r="S98" s="9" t="str">
        <f t="shared" si="15"/>
        <v>RIC</v>
      </c>
      <c r="T98" s="9" t="str">
        <f t="shared" si="16"/>
        <v>Morayo Igwe</v>
      </c>
      <c r="U98" t="str">
        <f t="shared" si="17"/>
        <v>April</v>
      </c>
    </row>
    <row r="99" spans="1:21" ht="14.25" customHeight="1" x14ac:dyDescent="0.25">
      <c r="A99" s="10">
        <v>98</v>
      </c>
      <c r="B99" s="11" t="s">
        <v>250</v>
      </c>
      <c r="C99" s="11" t="s">
        <v>251</v>
      </c>
      <c r="D99" s="11" t="s">
        <v>33</v>
      </c>
      <c r="E99" s="11" t="s">
        <v>58</v>
      </c>
      <c r="F99" s="12">
        <v>6.7</v>
      </c>
      <c r="G99" s="13">
        <v>45084</v>
      </c>
      <c r="H99" s="13">
        <v>45130</v>
      </c>
      <c r="I99" s="13">
        <v>45225</v>
      </c>
      <c r="J99" s="13">
        <v>45265</v>
      </c>
      <c r="K99" s="14">
        <v>19860</v>
      </c>
      <c r="L99" s="11" t="s">
        <v>25</v>
      </c>
      <c r="M99" s="14">
        <v>351000</v>
      </c>
      <c r="N99" s="9" t="str">
        <f t="shared" si="10"/>
        <v>Medium scale</v>
      </c>
      <c r="O99" s="9" t="str">
        <f t="shared" si="11"/>
        <v>Delayed</v>
      </c>
      <c r="P99" s="9" t="str">
        <f t="shared" si="12"/>
        <v>Loan eligible</v>
      </c>
      <c r="Q99" s="9">
        <f t="shared" si="13"/>
        <v>135</v>
      </c>
      <c r="R99" s="9" t="str">
        <f t="shared" si="14"/>
        <v>NW</v>
      </c>
      <c r="S99" s="9" t="str">
        <f t="shared" si="15"/>
        <v>MAZ</v>
      </c>
      <c r="T99" s="9" t="str">
        <f t="shared" si="16"/>
        <v>Adesuwa Aliyu</v>
      </c>
      <c r="U99" t="str">
        <f t="shared" si="17"/>
        <v>December</v>
      </c>
    </row>
    <row r="100" spans="1:21" ht="14.25" customHeight="1" x14ac:dyDescent="0.25">
      <c r="A100" s="4">
        <v>99</v>
      </c>
      <c r="B100" s="5" t="s">
        <v>252</v>
      </c>
      <c r="C100" s="5" t="s">
        <v>253</v>
      </c>
      <c r="D100" s="5" t="s">
        <v>23</v>
      </c>
      <c r="E100" s="5" t="s">
        <v>46</v>
      </c>
      <c r="F100" s="6">
        <v>5.5</v>
      </c>
      <c r="G100" s="7">
        <v>45473</v>
      </c>
      <c r="H100" s="7">
        <v>45539</v>
      </c>
      <c r="I100" s="7">
        <v>45728</v>
      </c>
      <c r="J100" s="7">
        <v>45759</v>
      </c>
      <c r="K100" s="8">
        <v>54660</v>
      </c>
      <c r="L100" s="5" t="s">
        <v>25</v>
      </c>
      <c r="M100" s="8">
        <v>314000</v>
      </c>
      <c r="N100" s="9" t="str">
        <f t="shared" si="10"/>
        <v>Medium scale</v>
      </c>
      <c r="O100" s="9" t="str">
        <f t="shared" si="11"/>
        <v>Delayed</v>
      </c>
      <c r="P100" s="9" t="str">
        <f t="shared" si="12"/>
        <v>Loan eligible</v>
      </c>
      <c r="Q100" s="9">
        <f t="shared" si="13"/>
        <v>220</v>
      </c>
      <c r="R100" s="9" t="str">
        <f t="shared" si="14"/>
        <v>SS</v>
      </c>
      <c r="S100" s="9" t="str">
        <f t="shared" si="15"/>
        <v>YAM</v>
      </c>
      <c r="T100" s="9" t="str">
        <f t="shared" si="16"/>
        <v>Hauwa Okeke</v>
      </c>
      <c r="U100" t="str">
        <f t="shared" si="17"/>
        <v>April</v>
      </c>
    </row>
    <row r="101" spans="1:21" ht="14.25" customHeight="1" x14ac:dyDescent="0.25">
      <c r="A101" s="10">
        <v>100</v>
      </c>
      <c r="B101" s="11" t="s">
        <v>254</v>
      </c>
      <c r="C101" s="11" t="s">
        <v>255</v>
      </c>
      <c r="D101" s="11" t="s">
        <v>61</v>
      </c>
      <c r="E101" s="11" t="s">
        <v>66</v>
      </c>
      <c r="F101" s="12">
        <v>1.1000000000000001</v>
      </c>
      <c r="G101" s="13">
        <v>45092</v>
      </c>
      <c r="H101" s="13">
        <v>45148</v>
      </c>
      <c r="I101" s="13">
        <v>45237</v>
      </c>
      <c r="J101" s="13">
        <v>45241</v>
      </c>
      <c r="K101" s="14">
        <v>1070</v>
      </c>
      <c r="L101" s="11" t="s">
        <v>30</v>
      </c>
      <c r="M101" s="14">
        <v>47000</v>
      </c>
      <c r="N101" s="9" t="str">
        <f t="shared" si="10"/>
        <v>Small holder</v>
      </c>
      <c r="O101" s="9" t="str">
        <f t="shared" si="11"/>
        <v>Delayed</v>
      </c>
      <c r="P101" s="9" t="str">
        <f t="shared" si="12"/>
        <v>Not eligible</v>
      </c>
      <c r="Q101" s="9">
        <f t="shared" si="13"/>
        <v>93</v>
      </c>
      <c r="R101" s="9" t="str">
        <f t="shared" si="14"/>
        <v>SW</v>
      </c>
      <c r="S101" s="9" t="str">
        <f t="shared" si="15"/>
        <v>MIL</v>
      </c>
      <c r="T101" s="9" t="str">
        <f t="shared" si="16"/>
        <v>Emmanuel Ojo</v>
      </c>
      <c r="U101" t="str">
        <f t="shared" si="17"/>
        <v>November</v>
      </c>
    </row>
    <row r="102" spans="1:21" ht="14.25" customHeight="1" x14ac:dyDescent="0.25">
      <c r="A102" s="4">
        <v>101</v>
      </c>
      <c r="B102" s="5" t="s">
        <v>256</v>
      </c>
      <c r="C102" s="5" t="s">
        <v>257</v>
      </c>
      <c r="D102" s="5" t="s">
        <v>52</v>
      </c>
      <c r="E102" s="5" t="s">
        <v>24</v>
      </c>
      <c r="F102" s="6">
        <v>1.8</v>
      </c>
      <c r="G102" s="7">
        <v>45077</v>
      </c>
      <c r="H102" s="7">
        <v>45193</v>
      </c>
      <c r="I102" s="7">
        <v>45315</v>
      </c>
      <c r="J102" s="7">
        <v>45330</v>
      </c>
      <c r="K102" s="8">
        <v>6430</v>
      </c>
      <c r="L102" s="5" t="s">
        <v>30</v>
      </c>
      <c r="M102" s="8">
        <v>94000</v>
      </c>
      <c r="N102" s="9" t="str">
        <f t="shared" si="10"/>
        <v>Small holder</v>
      </c>
      <c r="O102" s="9" t="str">
        <f t="shared" si="11"/>
        <v>Delayed</v>
      </c>
      <c r="P102" s="9" t="str">
        <f t="shared" si="12"/>
        <v>Not eligible</v>
      </c>
      <c r="Q102" s="9">
        <f t="shared" si="13"/>
        <v>137</v>
      </c>
      <c r="R102" s="9" t="str">
        <f t="shared" si="14"/>
        <v>SE</v>
      </c>
      <c r="S102" s="9" t="str">
        <f t="shared" si="15"/>
        <v>RIC</v>
      </c>
      <c r="T102" s="9" t="str">
        <f t="shared" si="16"/>
        <v>Adebayo Yakubu</v>
      </c>
      <c r="U102" t="str">
        <f t="shared" si="17"/>
        <v>February</v>
      </c>
    </row>
    <row r="103" spans="1:21" ht="14.25" customHeight="1" x14ac:dyDescent="0.25">
      <c r="A103" s="10">
        <v>102</v>
      </c>
      <c r="B103" s="11" t="s">
        <v>258</v>
      </c>
      <c r="C103" s="11" t="s">
        <v>259</v>
      </c>
      <c r="D103" s="11" t="s">
        <v>61</v>
      </c>
      <c r="E103" s="11" t="s">
        <v>34</v>
      </c>
      <c r="F103" s="12">
        <v>0.5</v>
      </c>
      <c r="G103" s="13">
        <v>45028</v>
      </c>
      <c r="H103" s="13">
        <v>45199</v>
      </c>
      <c r="I103" s="13">
        <v>45541</v>
      </c>
      <c r="J103" s="13">
        <v>45550</v>
      </c>
      <c r="K103" s="14">
        <v>180</v>
      </c>
      <c r="L103" s="11" t="s">
        <v>30</v>
      </c>
      <c r="M103" s="14">
        <v>32000</v>
      </c>
      <c r="N103" s="9" t="str">
        <f t="shared" si="10"/>
        <v>Small holder</v>
      </c>
      <c r="O103" s="9" t="str">
        <f t="shared" si="11"/>
        <v>Delayed</v>
      </c>
      <c r="P103" s="9" t="str">
        <f t="shared" si="12"/>
        <v>Not eligible</v>
      </c>
      <c r="Q103" s="9">
        <f t="shared" si="13"/>
        <v>351</v>
      </c>
      <c r="R103" s="9" t="str">
        <f t="shared" si="14"/>
        <v>SW</v>
      </c>
      <c r="S103" s="9" t="str">
        <f t="shared" si="15"/>
        <v>COC</v>
      </c>
      <c r="T103" s="9" t="str">
        <f t="shared" si="16"/>
        <v>Ayodele Anyanwu</v>
      </c>
      <c r="U103" t="str">
        <f t="shared" si="17"/>
        <v>September</v>
      </c>
    </row>
    <row r="104" spans="1:21" ht="14.25" customHeight="1" x14ac:dyDescent="0.25">
      <c r="A104" s="4">
        <v>103</v>
      </c>
      <c r="B104" s="5" t="s">
        <v>260</v>
      </c>
      <c r="C104" s="5" t="s">
        <v>261</v>
      </c>
      <c r="D104" s="5" t="s">
        <v>23</v>
      </c>
      <c r="E104" s="5" t="s">
        <v>66</v>
      </c>
      <c r="F104" s="6">
        <v>0.8</v>
      </c>
      <c r="G104" s="7">
        <v>45080</v>
      </c>
      <c r="H104" s="7">
        <v>45225</v>
      </c>
      <c r="I104" s="7">
        <v>45323</v>
      </c>
      <c r="J104" s="7">
        <v>45319</v>
      </c>
      <c r="K104" s="8">
        <v>610</v>
      </c>
      <c r="L104" s="5" t="s">
        <v>25</v>
      </c>
      <c r="M104" s="8">
        <v>47000</v>
      </c>
      <c r="N104" s="9" t="str">
        <f t="shared" si="10"/>
        <v>Small holder</v>
      </c>
      <c r="O104" s="9" t="str">
        <f t="shared" si="11"/>
        <v>On Schedule</v>
      </c>
      <c r="P104" s="9" t="str">
        <f t="shared" si="12"/>
        <v>Not eligible</v>
      </c>
      <c r="Q104" s="9">
        <f t="shared" si="13"/>
        <v>94</v>
      </c>
      <c r="R104" s="9" t="str">
        <f t="shared" si="14"/>
        <v>SS</v>
      </c>
      <c r="S104" s="9" t="str">
        <f t="shared" si="15"/>
        <v>MIL</v>
      </c>
      <c r="T104" s="9" t="str">
        <f t="shared" si="16"/>
        <v>Hauwa Okeke</v>
      </c>
      <c r="U104" t="str">
        <f t="shared" si="17"/>
        <v>January</v>
      </c>
    </row>
    <row r="105" spans="1:21" ht="14.25" customHeight="1" x14ac:dyDescent="0.25">
      <c r="A105" s="10">
        <v>104</v>
      </c>
      <c r="B105" s="11" t="s">
        <v>262</v>
      </c>
      <c r="C105" s="11" t="s">
        <v>263</v>
      </c>
      <c r="D105" s="11" t="s">
        <v>52</v>
      </c>
      <c r="E105" s="11" t="s">
        <v>66</v>
      </c>
      <c r="F105" s="12">
        <v>1.3</v>
      </c>
      <c r="G105" s="13">
        <v>45574</v>
      </c>
      <c r="H105" s="13">
        <v>45710</v>
      </c>
      <c r="I105" s="13">
        <v>45802</v>
      </c>
      <c r="J105" s="13">
        <v>45821</v>
      </c>
      <c r="K105" s="14">
        <v>1120</v>
      </c>
      <c r="L105" s="11" t="s">
        <v>35</v>
      </c>
      <c r="M105" s="14">
        <v>68000</v>
      </c>
      <c r="N105" s="9" t="str">
        <f t="shared" si="10"/>
        <v>Small holder</v>
      </c>
      <c r="O105" s="9" t="str">
        <f t="shared" si="11"/>
        <v>Delayed</v>
      </c>
      <c r="P105" s="9" t="str">
        <f t="shared" si="12"/>
        <v>Not eligible</v>
      </c>
      <c r="Q105" s="9">
        <f t="shared" si="13"/>
        <v>111</v>
      </c>
      <c r="R105" s="9" t="str">
        <f t="shared" si="14"/>
        <v>SE</v>
      </c>
      <c r="S105" s="9" t="str">
        <f t="shared" si="15"/>
        <v>MIL</v>
      </c>
      <c r="T105" s="9" t="str">
        <f t="shared" si="16"/>
        <v>Ngozi Bello</v>
      </c>
      <c r="U105" t="str">
        <f t="shared" si="17"/>
        <v>June</v>
      </c>
    </row>
    <row r="106" spans="1:21" ht="14.25" customHeight="1" x14ac:dyDescent="0.25">
      <c r="A106" s="4">
        <v>105</v>
      </c>
      <c r="B106" s="5" t="s">
        <v>264</v>
      </c>
      <c r="C106" s="5" t="s">
        <v>265</v>
      </c>
      <c r="D106" s="5" t="s">
        <v>23</v>
      </c>
      <c r="E106" s="5" t="s">
        <v>24</v>
      </c>
      <c r="F106" s="6">
        <v>1.2</v>
      </c>
      <c r="G106" s="7">
        <v>45446</v>
      </c>
      <c r="H106" s="7">
        <v>45592</v>
      </c>
      <c r="I106" s="7">
        <v>45712</v>
      </c>
      <c r="J106" s="7">
        <v>45705</v>
      </c>
      <c r="K106" s="8">
        <v>2610</v>
      </c>
      <c r="L106" s="5" t="s">
        <v>25</v>
      </c>
      <c r="M106" s="8">
        <v>75000</v>
      </c>
      <c r="N106" s="9" t="str">
        <f t="shared" si="10"/>
        <v>Small holder</v>
      </c>
      <c r="O106" s="9" t="str">
        <f t="shared" si="11"/>
        <v>On Schedule</v>
      </c>
      <c r="P106" s="9" t="str">
        <f t="shared" si="12"/>
        <v>Not eligible</v>
      </c>
      <c r="Q106" s="9">
        <f t="shared" si="13"/>
        <v>113</v>
      </c>
      <c r="R106" s="9" t="str">
        <f t="shared" si="14"/>
        <v>SS</v>
      </c>
      <c r="S106" s="9" t="str">
        <f t="shared" si="15"/>
        <v>RIC</v>
      </c>
      <c r="T106" s="9" t="str">
        <f t="shared" si="16"/>
        <v>Chidinma Nnamdi</v>
      </c>
      <c r="U106" t="str">
        <f t="shared" si="17"/>
        <v>February</v>
      </c>
    </row>
    <row r="107" spans="1:21" ht="14.25" customHeight="1" x14ac:dyDescent="0.25">
      <c r="A107" s="10">
        <v>106</v>
      </c>
      <c r="B107" s="11" t="s">
        <v>266</v>
      </c>
      <c r="C107" s="11" t="s">
        <v>267</v>
      </c>
      <c r="D107" s="11" t="s">
        <v>76</v>
      </c>
      <c r="E107" s="11" t="s">
        <v>24</v>
      </c>
      <c r="F107" s="12">
        <v>8.1</v>
      </c>
      <c r="G107" s="13">
        <v>45679</v>
      </c>
      <c r="H107" s="13">
        <v>45769</v>
      </c>
      <c r="I107" s="13">
        <v>45893</v>
      </c>
      <c r="J107" s="13">
        <v>45885</v>
      </c>
      <c r="K107" s="14">
        <v>21950</v>
      </c>
      <c r="L107" s="11" t="s">
        <v>35</v>
      </c>
      <c r="M107" s="14">
        <v>490000</v>
      </c>
      <c r="N107" s="9" t="str">
        <f t="shared" si="10"/>
        <v>Medium scale</v>
      </c>
      <c r="O107" s="9" t="str">
        <f t="shared" si="11"/>
        <v>On Schedule</v>
      </c>
      <c r="P107" s="9" t="str">
        <f t="shared" si="12"/>
        <v>Not eligible</v>
      </c>
      <c r="Q107" s="9">
        <f t="shared" si="13"/>
        <v>116</v>
      </c>
      <c r="R107" s="9" t="str">
        <f t="shared" si="14"/>
        <v>NC</v>
      </c>
      <c r="S107" s="9" t="str">
        <f t="shared" si="15"/>
        <v>RIC</v>
      </c>
      <c r="T107" s="9" t="str">
        <f t="shared" si="16"/>
        <v>Fatima Ibe</v>
      </c>
      <c r="U107" t="str">
        <f t="shared" si="17"/>
        <v>August</v>
      </c>
    </row>
    <row r="108" spans="1:21" ht="14.25" customHeight="1" x14ac:dyDescent="0.25">
      <c r="A108" s="4">
        <v>107</v>
      </c>
      <c r="B108" s="5" t="s">
        <v>268</v>
      </c>
      <c r="C108" s="5" t="s">
        <v>269</v>
      </c>
      <c r="D108" s="5" t="s">
        <v>23</v>
      </c>
      <c r="E108" s="5" t="s">
        <v>66</v>
      </c>
      <c r="F108" s="6">
        <v>1.6</v>
      </c>
      <c r="G108" s="7">
        <v>45395</v>
      </c>
      <c r="H108" s="7">
        <v>45409</v>
      </c>
      <c r="I108" s="7">
        <v>45503</v>
      </c>
      <c r="J108" s="7">
        <v>45500</v>
      </c>
      <c r="K108" s="8">
        <v>1770</v>
      </c>
      <c r="L108" s="5" t="s">
        <v>25</v>
      </c>
      <c r="M108" s="8">
        <v>83000</v>
      </c>
      <c r="N108" s="9" t="str">
        <f t="shared" si="10"/>
        <v>Small holder</v>
      </c>
      <c r="O108" s="9" t="str">
        <f t="shared" si="11"/>
        <v>On Schedule</v>
      </c>
      <c r="P108" s="9" t="str">
        <f t="shared" si="12"/>
        <v>Not eligible</v>
      </c>
      <c r="Q108" s="9">
        <f t="shared" si="13"/>
        <v>91</v>
      </c>
      <c r="R108" s="9" t="str">
        <f t="shared" si="14"/>
        <v>SS</v>
      </c>
      <c r="S108" s="9" t="str">
        <f t="shared" si="15"/>
        <v>MIL</v>
      </c>
      <c r="T108" s="9" t="str">
        <f t="shared" si="16"/>
        <v>Babajide Sani</v>
      </c>
      <c r="U108" t="str">
        <f t="shared" si="17"/>
        <v>July</v>
      </c>
    </row>
    <row r="109" spans="1:21" ht="14.25" customHeight="1" x14ac:dyDescent="0.25">
      <c r="A109" s="10">
        <v>108</v>
      </c>
      <c r="B109" s="11" t="s">
        <v>270</v>
      </c>
      <c r="C109" s="11" t="s">
        <v>271</v>
      </c>
      <c r="D109" s="11" t="s">
        <v>52</v>
      </c>
      <c r="E109" s="11" t="s">
        <v>66</v>
      </c>
      <c r="F109" s="12">
        <v>1</v>
      </c>
      <c r="G109" s="13">
        <v>45726</v>
      </c>
      <c r="H109" s="13">
        <v>45743</v>
      </c>
      <c r="I109" s="13">
        <v>45838</v>
      </c>
      <c r="J109" s="13">
        <v>45833</v>
      </c>
      <c r="K109" s="14">
        <v>870</v>
      </c>
      <c r="L109" s="11" t="s">
        <v>25</v>
      </c>
      <c r="M109" s="14">
        <v>69000</v>
      </c>
      <c r="N109" s="9" t="str">
        <f t="shared" si="10"/>
        <v>Small holder</v>
      </c>
      <c r="O109" s="9" t="str">
        <f t="shared" si="11"/>
        <v>On Schedule</v>
      </c>
      <c r="P109" s="9" t="str">
        <f t="shared" si="12"/>
        <v>Not eligible</v>
      </c>
      <c r="Q109" s="9">
        <f t="shared" si="13"/>
        <v>90</v>
      </c>
      <c r="R109" s="9" t="str">
        <f t="shared" si="14"/>
        <v>SE</v>
      </c>
      <c r="S109" s="9" t="str">
        <f t="shared" si="15"/>
        <v>MIL</v>
      </c>
      <c r="T109" s="9" t="str">
        <f t="shared" si="16"/>
        <v>Folake Adeyemi</v>
      </c>
      <c r="U109" t="str">
        <f t="shared" si="17"/>
        <v>June</v>
      </c>
    </row>
    <row r="110" spans="1:21" ht="14.25" customHeight="1" x14ac:dyDescent="0.25">
      <c r="A110" s="4">
        <v>109</v>
      </c>
      <c r="B110" s="5" t="s">
        <v>272</v>
      </c>
      <c r="C110" s="5" t="s">
        <v>273</v>
      </c>
      <c r="D110" s="5" t="s">
        <v>76</v>
      </c>
      <c r="E110" s="5" t="s">
        <v>49</v>
      </c>
      <c r="F110" s="6">
        <v>4.0999999999999996</v>
      </c>
      <c r="G110" s="7">
        <v>45011</v>
      </c>
      <c r="H110" s="7">
        <v>45124</v>
      </c>
      <c r="I110" s="7">
        <v>45399</v>
      </c>
      <c r="J110" s="7">
        <v>45397</v>
      </c>
      <c r="K110" s="8">
        <v>42120</v>
      </c>
      <c r="L110" s="5" t="s">
        <v>25</v>
      </c>
      <c r="M110" s="8">
        <v>0</v>
      </c>
      <c r="N110" s="9" t="str">
        <f t="shared" si="10"/>
        <v>Medium scale</v>
      </c>
      <c r="O110" s="9" t="str">
        <f t="shared" si="11"/>
        <v>On Schedule</v>
      </c>
      <c r="P110" s="9" t="str">
        <f t="shared" si="12"/>
        <v>Loan eligible</v>
      </c>
      <c r="Q110" s="9">
        <f t="shared" si="13"/>
        <v>273</v>
      </c>
      <c r="R110" s="9" t="str">
        <f t="shared" si="14"/>
        <v>NC</v>
      </c>
      <c r="S110" s="9" t="str">
        <f t="shared" si="15"/>
        <v>CAS</v>
      </c>
      <c r="T110" s="9" t="str">
        <f t="shared" si="16"/>
        <v>Nkechi Nwachukwu</v>
      </c>
      <c r="U110" t="str">
        <f t="shared" si="17"/>
        <v>April</v>
      </c>
    </row>
    <row r="111" spans="1:21" ht="14.25" customHeight="1" x14ac:dyDescent="0.25">
      <c r="A111" s="10">
        <v>110</v>
      </c>
      <c r="B111" s="11" t="s">
        <v>274</v>
      </c>
      <c r="C111" s="11" t="s">
        <v>275</v>
      </c>
      <c r="D111" s="11" t="s">
        <v>23</v>
      </c>
      <c r="E111" s="11" t="s">
        <v>53</v>
      </c>
      <c r="F111" s="12">
        <v>1.5</v>
      </c>
      <c r="G111" s="13">
        <v>45286</v>
      </c>
      <c r="H111" s="13">
        <v>45405</v>
      </c>
      <c r="I111" s="13">
        <v>45506</v>
      </c>
      <c r="J111" s="13">
        <v>45529</v>
      </c>
      <c r="K111" s="14">
        <v>1920</v>
      </c>
      <c r="L111" s="11" t="s">
        <v>25</v>
      </c>
      <c r="M111" s="14">
        <v>96000</v>
      </c>
      <c r="N111" s="9" t="str">
        <f t="shared" si="10"/>
        <v>Small holder</v>
      </c>
      <c r="O111" s="9" t="str">
        <f t="shared" si="11"/>
        <v>Delayed</v>
      </c>
      <c r="P111" s="9" t="str">
        <f t="shared" si="12"/>
        <v>Not eligible</v>
      </c>
      <c r="Q111" s="9">
        <f t="shared" si="13"/>
        <v>124</v>
      </c>
      <c r="R111" s="9" t="str">
        <f t="shared" si="14"/>
        <v>SS</v>
      </c>
      <c r="S111" s="9" t="str">
        <f t="shared" si="15"/>
        <v>SOR</v>
      </c>
      <c r="T111" s="9" t="str">
        <f t="shared" si="16"/>
        <v>Temitope Obi</v>
      </c>
      <c r="U111" t="str">
        <f t="shared" si="17"/>
        <v>August</v>
      </c>
    </row>
    <row r="112" spans="1:21" ht="14.25" customHeight="1" x14ac:dyDescent="0.25">
      <c r="A112" s="4">
        <v>111</v>
      </c>
      <c r="B112" s="5" t="s">
        <v>276</v>
      </c>
      <c r="C112" s="5" t="s">
        <v>277</v>
      </c>
      <c r="D112" s="5" t="s">
        <v>33</v>
      </c>
      <c r="E112" s="5" t="s">
        <v>24</v>
      </c>
      <c r="F112" s="6">
        <v>7.4</v>
      </c>
      <c r="G112" s="7">
        <v>44958</v>
      </c>
      <c r="H112" s="7">
        <v>44999</v>
      </c>
      <c r="I112" s="7">
        <v>45146</v>
      </c>
      <c r="J112" s="7">
        <v>45175</v>
      </c>
      <c r="K112" s="8">
        <v>16000</v>
      </c>
      <c r="L112" s="5" t="s">
        <v>25</v>
      </c>
      <c r="M112" s="8">
        <v>377000</v>
      </c>
      <c r="N112" s="9" t="str">
        <f t="shared" si="10"/>
        <v>Medium scale</v>
      </c>
      <c r="O112" s="9" t="str">
        <f t="shared" si="11"/>
        <v>Delayed</v>
      </c>
      <c r="P112" s="9" t="str">
        <f t="shared" si="12"/>
        <v>Loan eligible</v>
      </c>
      <c r="Q112" s="9">
        <f t="shared" si="13"/>
        <v>176</v>
      </c>
      <c r="R112" s="9" t="str">
        <f t="shared" si="14"/>
        <v>NW</v>
      </c>
      <c r="S112" s="9" t="str">
        <f t="shared" si="15"/>
        <v>RIC</v>
      </c>
      <c r="T112" s="9" t="str">
        <f t="shared" si="16"/>
        <v>Adesuwa Onyeka</v>
      </c>
      <c r="U112" t="str">
        <f t="shared" si="17"/>
        <v>September</v>
      </c>
    </row>
    <row r="113" spans="1:21" ht="14.25" customHeight="1" x14ac:dyDescent="0.25">
      <c r="A113" s="10">
        <v>112</v>
      </c>
      <c r="B113" s="11" t="s">
        <v>278</v>
      </c>
      <c r="C113" s="11" t="s">
        <v>279</v>
      </c>
      <c r="D113" s="11" t="s">
        <v>61</v>
      </c>
      <c r="E113" s="11" t="s">
        <v>58</v>
      </c>
      <c r="F113" s="12">
        <v>15.6</v>
      </c>
      <c r="G113" s="13">
        <v>45708</v>
      </c>
      <c r="H113" s="13">
        <v>45732</v>
      </c>
      <c r="I113" s="13">
        <v>45840</v>
      </c>
      <c r="J113" s="13">
        <v>45835</v>
      </c>
      <c r="K113" s="14">
        <v>36610</v>
      </c>
      <c r="L113" s="11" t="s">
        <v>35</v>
      </c>
      <c r="M113" s="14">
        <v>677000</v>
      </c>
      <c r="N113" s="9" t="str">
        <f t="shared" si="10"/>
        <v>Commercial</v>
      </c>
      <c r="O113" s="9" t="str">
        <f t="shared" si="11"/>
        <v>On Schedule</v>
      </c>
      <c r="P113" s="9" t="str">
        <f t="shared" si="12"/>
        <v>Not eligible</v>
      </c>
      <c r="Q113" s="9">
        <f t="shared" si="13"/>
        <v>103</v>
      </c>
      <c r="R113" s="9" t="str">
        <f t="shared" si="14"/>
        <v>SW</v>
      </c>
      <c r="S113" s="9" t="str">
        <f t="shared" si="15"/>
        <v>MAZ</v>
      </c>
      <c r="T113" s="9" t="str">
        <f t="shared" si="16"/>
        <v>Oluwaseun Chukwu</v>
      </c>
      <c r="U113" t="str">
        <f t="shared" si="17"/>
        <v>June</v>
      </c>
    </row>
    <row r="114" spans="1:21" ht="14.25" customHeight="1" x14ac:dyDescent="0.25">
      <c r="A114" s="4">
        <v>113</v>
      </c>
      <c r="B114" s="5" t="s">
        <v>280</v>
      </c>
      <c r="C114" s="5" t="s">
        <v>281</v>
      </c>
      <c r="D114" s="5" t="s">
        <v>23</v>
      </c>
      <c r="E114" s="5" t="s">
        <v>49</v>
      </c>
      <c r="F114" s="6">
        <v>4.0999999999999996</v>
      </c>
      <c r="G114" s="7">
        <v>45193</v>
      </c>
      <c r="H114" s="7">
        <v>45312</v>
      </c>
      <c r="I114" s="7">
        <v>45595</v>
      </c>
      <c r="J114" s="7">
        <v>45614</v>
      </c>
      <c r="K114" s="8">
        <v>45770</v>
      </c>
      <c r="L114" s="5" t="s">
        <v>30</v>
      </c>
      <c r="M114" s="8">
        <v>181000</v>
      </c>
      <c r="N114" s="9" t="str">
        <f t="shared" si="10"/>
        <v>Medium scale</v>
      </c>
      <c r="O114" s="9" t="str">
        <f t="shared" si="11"/>
        <v>Delayed</v>
      </c>
      <c r="P114" s="9" t="str">
        <f t="shared" si="12"/>
        <v>Not eligible</v>
      </c>
      <c r="Q114" s="9">
        <f t="shared" si="13"/>
        <v>302</v>
      </c>
      <c r="R114" s="9" t="str">
        <f t="shared" si="14"/>
        <v>SS</v>
      </c>
      <c r="S114" s="9" t="str">
        <f t="shared" si="15"/>
        <v>CAS</v>
      </c>
      <c r="T114" s="9" t="str">
        <f t="shared" si="16"/>
        <v>Nkechi Fashola</v>
      </c>
      <c r="U114" t="str">
        <f t="shared" si="17"/>
        <v>November</v>
      </c>
    </row>
    <row r="115" spans="1:21" ht="14.25" customHeight="1" x14ac:dyDescent="0.25">
      <c r="A115" s="10">
        <v>114</v>
      </c>
      <c r="B115" s="11" t="s">
        <v>282</v>
      </c>
      <c r="C115" s="11" t="s">
        <v>283</v>
      </c>
      <c r="D115" s="11" t="s">
        <v>33</v>
      </c>
      <c r="E115" s="11" t="s">
        <v>66</v>
      </c>
      <c r="F115" s="12">
        <v>9.6</v>
      </c>
      <c r="G115" s="13">
        <v>45254</v>
      </c>
      <c r="H115" s="13">
        <v>45429</v>
      </c>
      <c r="I115" s="13">
        <v>45525</v>
      </c>
      <c r="J115" s="13">
        <v>45561</v>
      </c>
      <c r="K115" s="14">
        <v>8860</v>
      </c>
      <c r="L115" s="11" t="s">
        <v>30</v>
      </c>
      <c r="M115" s="14">
        <v>589000</v>
      </c>
      <c r="N115" s="9" t="str">
        <f t="shared" si="10"/>
        <v>Medium scale</v>
      </c>
      <c r="O115" s="9" t="str">
        <f t="shared" si="11"/>
        <v>Delayed</v>
      </c>
      <c r="P115" s="9" t="str">
        <f t="shared" si="12"/>
        <v>Not eligible</v>
      </c>
      <c r="Q115" s="9">
        <f t="shared" si="13"/>
        <v>132</v>
      </c>
      <c r="R115" s="9" t="str">
        <f t="shared" si="14"/>
        <v>NW</v>
      </c>
      <c r="S115" s="9" t="str">
        <f t="shared" si="15"/>
        <v>MIL</v>
      </c>
      <c r="T115" s="9" t="str">
        <f t="shared" si="16"/>
        <v>Bola Obi</v>
      </c>
      <c r="U115" t="str">
        <f t="shared" si="17"/>
        <v>September</v>
      </c>
    </row>
    <row r="116" spans="1:21" ht="14.25" customHeight="1" x14ac:dyDescent="0.25">
      <c r="A116" s="4">
        <v>115</v>
      </c>
      <c r="B116" s="5" t="s">
        <v>284</v>
      </c>
      <c r="C116" s="5" t="s">
        <v>285</v>
      </c>
      <c r="D116" s="5" t="s">
        <v>23</v>
      </c>
      <c r="E116" s="5" t="s">
        <v>49</v>
      </c>
      <c r="F116" s="6">
        <v>0.8</v>
      </c>
      <c r="G116" s="7">
        <v>45069</v>
      </c>
      <c r="H116" s="7">
        <v>45134</v>
      </c>
      <c r="I116" s="7">
        <v>45454</v>
      </c>
      <c r="J116" s="7">
        <v>45478</v>
      </c>
      <c r="K116" s="8">
        <v>8260</v>
      </c>
      <c r="L116" s="5" t="s">
        <v>25</v>
      </c>
      <c r="M116" s="8">
        <v>45000</v>
      </c>
      <c r="N116" s="9" t="str">
        <f t="shared" si="10"/>
        <v>Small holder</v>
      </c>
      <c r="O116" s="9" t="str">
        <f t="shared" si="11"/>
        <v>Delayed</v>
      </c>
      <c r="P116" s="9" t="str">
        <f t="shared" si="12"/>
        <v>Not eligible</v>
      </c>
      <c r="Q116" s="9">
        <f t="shared" si="13"/>
        <v>344</v>
      </c>
      <c r="R116" s="9" t="str">
        <f t="shared" si="14"/>
        <v>SS</v>
      </c>
      <c r="S116" s="9" t="str">
        <f t="shared" si="15"/>
        <v>CAS</v>
      </c>
      <c r="T116" s="9" t="str">
        <f t="shared" si="16"/>
        <v>Peter Nnamdi</v>
      </c>
      <c r="U116" t="str">
        <f t="shared" si="17"/>
        <v>July</v>
      </c>
    </row>
    <row r="117" spans="1:21" ht="14.25" customHeight="1" x14ac:dyDescent="0.25">
      <c r="A117" s="10">
        <v>116</v>
      </c>
      <c r="B117" s="11" t="s">
        <v>286</v>
      </c>
      <c r="C117" s="11" t="s">
        <v>287</v>
      </c>
      <c r="D117" s="11" t="s">
        <v>52</v>
      </c>
      <c r="E117" s="11" t="s">
        <v>24</v>
      </c>
      <c r="F117" s="12">
        <v>5.8</v>
      </c>
      <c r="G117" s="13">
        <v>45347</v>
      </c>
      <c r="H117" s="13">
        <v>45456</v>
      </c>
      <c r="I117" s="13">
        <v>45602</v>
      </c>
      <c r="J117" s="13">
        <v>45611</v>
      </c>
      <c r="K117" s="14">
        <v>22330</v>
      </c>
      <c r="L117" s="11" t="s">
        <v>35</v>
      </c>
      <c r="M117" s="14">
        <v>350000</v>
      </c>
      <c r="N117" s="9" t="str">
        <f t="shared" si="10"/>
        <v>Medium scale</v>
      </c>
      <c r="O117" s="9" t="str">
        <f t="shared" si="11"/>
        <v>Delayed</v>
      </c>
      <c r="P117" s="9" t="str">
        <f t="shared" si="12"/>
        <v>Not eligible</v>
      </c>
      <c r="Q117" s="9">
        <f t="shared" si="13"/>
        <v>155</v>
      </c>
      <c r="R117" s="9" t="str">
        <f t="shared" si="14"/>
        <v>SE</v>
      </c>
      <c r="S117" s="9" t="str">
        <f t="shared" si="15"/>
        <v>RIC</v>
      </c>
      <c r="T117" s="9" t="str">
        <f t="shared" si="16"/>
        <v>Ngozi Lawal</v>
      </c>
      <c r="U117" t="str">
        <f t="shared" si="17"/>
        <v>November</v>
      </c>
    </row>
    <row r="118" spans="1:21" ht="14.25" customHeight="1" x14ac:dyDescent="0.25">
      <c r="A118" s="4">
        <v>117</v>
      </c>
      <c r="B118" s="5" t="s">
        <v>288</v>
      </c>
      <c r="C118" s="5" t="s">
        <v>289</v>
      </c>
      <c r="D118" s="5" t="s">
        <v>76</v>
      </c>
      <c r="E118" s="5" t="s">
        <v>49</v>
      </c>
      <c r="F118" s="6">
        <v>1.9</v>
      </c>
      <c r="G118" s="7">
        <v>45370</v>
      </c>
      <c r="H118" s="7">
        <v>45503</v>
      </c>
      <c r="I118" s="7">
        <v>45831</v>
      </c>
      <c r="J118" s="7">
        <v>45839</v>
      </c>
      <c r="K118" s="8">
        <v>19210</v>
      </c>
      <c r="L118" s="5" t="s">
        <v>25</v>
      </c>
      <c r="M118" s="8">
        <v>0</v>
      </c>
      <c r="N118" s="9" t="str">
        <f t="shared" si="10"/>
        <v>Small holder</v>
      </c>
      <c r="O118" s="9" t="str">
        <f t="shared" si="11"/>
        <v>Delayed</v>
      </c>
      <c r="P118" s="9" t="str">
        <f t="shared" si="12"/>
        <v>Not eligible</v>
      </c>
      <c r="Q118" s="9">
        <f t="shared" si="13"/>
        <v>336</v>
      </c>
      <c r="R118" s="9" t="str">
        <f t="shared" si="14"/>
        <v>NC</v>
      </c>
      <c r="S118" s="9" t="str">
        <f t="shared" si="15"/>
        <v>CAS</v>
      </c>
      <c r="T118" s="9" t="str">
        <f t="shared" si="16"/>
        <v>Aminu Salihu</v>
      </c>
      <c r="U118" t="str">
        <f t="shared" si="17"/>
        <v>July</v>
      </c>
    </row>
    <row r="119" spans="1:21" ht="14.25" customHeight="1" x14ac:dyDescent="0.25">
      <c r="A119" s="10">
        <v>118</v>
      </c>
      <c r="B119" s="11" t="s">
        <v>290</v>
      </c>
      <c r="C119" s="11" t="s">
        <v>291</v>
      </c>
      <c r="D119" s="11" t="s">
        <v>23</v>
      </c>
      <c r="E119" s="11" t="s">
        <v>46</v>
      </c>
      <c r="F119" s="12">
        <v>4</v>
      </c>
      <c r="G119" s="13">
        <v>45577</v>
      </c>
      <c r="H119" s="13">
        <v>45723</v>
      </c>
      <c r="I119" s="13">
        <v>45911</v>
      </c>
      <c r="J119" s="13">
        <v>45907</v>
      </c>
      <c r="K119" s="14">
        <v>34200</v>
      </c>
      <c r="L119" s="11" t="s">
        <v>25</v>
      </c>
      <c r="M119" s="14">
        <v>231000</v>
      </c>
      <c r="N119" s="9" t="str">
        <f t="shared" si="10"/>
        <v>Medium scale</v>
      </c>
      <c r="O119" s="9" t="str">
        <f t="shared" si="11"/>
        <v>On Schedule</v>
      </c>
      <c r="P119" s="9" t="str">
        <f t="shared" si="12"/>
        <v>Loan eligible</v>
      </c>
      <c r="Q119" s="9">
        <f t="shared" si="13"/>
        <v>184</v>
      </c>
      <c r="R119" s="9" t="str">
        <f t="shared" si="14"/>
        <v>SS</v>
      </c>
      <c r="S119" s="9" t="str">
        <f t="shared" si="15"/>
        <v>YAM</v>
      </c>
      <c r="T119" s="9" t="str">
        <f t="shared" si="16"/>
        <v>Fatima Fashola</v>
      </c>
      <c r="U119" t="str">
        <f t="shared" si="17"/>
        <v>September</v>
      </c>
    </row>
    <row r="120" spans="1:21" ht="14.25" customHeight="1" x14ac:dyDescent="0.25">
      <c r="A120" s="4">
        <v>119</v>
      </c>
      <c r="B120" s="5" t="s">
        <v>292</v>
      </c>
      <c r="C120" s="5" t="s">
        <v>293</v>
      </c>
      <c r="D120" s="5" t="s">
        <v>52</v>
      </c>
      <c r="E120" s="5" t="s">
        <v>49</v>
      </c>
      <c r="F120" s="6">
        <v>8.6999999999999993</v>
      </c>
      <c r="G120" s="7">
        <v>45504</v>
      </c>
      <c r="H120" s="7">
        <v>45519</v>
      </c>
      <c r="I120" s="7">
        <v>45841</v>
      </c>
      <c r="J120" s="7">
        <v>45847</v>
      </c>
      <c r="K120" s="8">
        <v>63270</v>
      </c>
      <c r="L120" s="5" t="s">
        <v>35</v>
      </c>
      <c r="M120" s="8">
        <v>518000</v>
      </c>
      <c r="N120" s="9" t="str">
        <f t="shared" si="10"/>
        <v>Medium scale</v>
      </c>
      <c r="O120" s="9" t="str">
        <f t="shared" si="11"/>
        <v>Delayed</v>
      </c>
      <c r="P120" s="9" t="str">
        <f t="shared" si="12"/>
        <v>Not eligible</v>
      </c>
      <c r="Q120" s="9">
        <f t="shared" si="13"/>
        <v>328</v>
      </c>
      <c r="R120" s="9" t="str">
        <f t="shared" si="14"/>
        <v>SE</v>
      </c>
      <c r="S120" s="9" t="str">
        <f t="shared" si="15"/>
        <v>CAS</v>
      </c>
      <c r="T120" s="9" t="str">
        <f t="shared" si="16"/>
        <v>Tunde Okeke</v>
      </c>
      <c r="U120" t="str">
        <f t="shared" si="17"/>
        <v>July</v>
      </c>
    </row>
    <row r="121" spans="1:21" ht="14.25" customHeight="1" x14ac:dyDescent="0.25">
      <c r="A121" s="10">
        <v>120</v>
      </c>
      <c r="B121" s="11" t="s">
        <v>294</v>
      </c>
      <c r="C121" s="11" t="s">
        <v>295</v>
      </c>
      <c r="D121" s="11" t="s">
        <v>52</v>
      </c>
      <c r="E121" s="11" t="s">
        <v>29</v>
      </c>
      <c r="F121" s="12">
        <v>4.3</v>
      </c>
      <c r="G121" s="13">
        <v>45236</v>
      </c>
      <c r="H121" s="13">
        <v>45364</v>
      </c>
      <c r="I121" s="13">
        <v>45461</v>
      </c>
      <c r="J121" s="13">
        <v>45505</v>
      </c>
      <c r="K121" s="14">
        <v>4060</v>
      </c>
      <c r="L121" s="11" t="s">
        <v>25</v>
      </c>
      <c r="M121" s="14">
        <v>192000</v>
      </c>
      <c r="N121" s="9" t="str">
        <f t="shared" si="10"/>
        <v>Medium scale</v>
      </c>
      <c r="O121" s="9" t="str">
        <f t="shared" si="11"/>
        <v>Delayed</v>
      </c>
      <c r="P121" s="9" t="str">
        <f t="shared" si="12"/>
        <v>Loan eligible</v>
      </c>
      <c r="Q121" s="9">
        <f t="shared" si="13"/>
        <v>141</v>
      </c>
      <c r="R121" s="9" t="str">
        <f t="shared" si="14"/>
        <v>SE</v>
      </c>
      <c r="S121" s="9" t="str">
        <f t="shared" si="15"/>
        <v>GRN</v>
      </c>
      <c r="T121" s="9" t="str">
        <f t="shared" si="16"/>
        <v>Feyisayo Balogun</v>
      </c>
      <c r="U121" t="str">
        <f t="shared" si="17"/>
        <v>August</v>
      </c>
    </row>
    <row r="122" spans="1:21" ht="14.25" customHeight="1" x14ac:dyDescent="0.25">
      <c r="A122" s="4">
        <v>121</v>
      </c>
      <c r="B122" s="5" t="s">
        <v>296</v>
      </c>
      <c r="C122" s="5" t="s">
        <v>297</v>
      </c>
      <c r="D122" s="5" t="s">
        <v>61</v>
      </c>
      <c r="E122" s="5" t="s">
        <v>66</v>
      </c>
      <c r="F122" s="6">
        <v>1.7</v>
      </c>
      <c r="G122" s="7">
        <v>45253</v>
      </c>
      <c r="H122" s="7">
        <v>45346</v>
      </c>
      <c r="I122" s="7">
        <v>45443</v>
      </c>
      <c r="J122" s="7">
        <v>45438</v>
      </c>
      <c r="K122" s="8">
        <v>1540</v>
      </c>
      <c r="L122" s="5" t="s">
        <v>25</v>
      </c>
      <c r="M122" s="8">
        <v>74000</v>
      </c>
      <c r="N122" s="9" t="str">
        <f t="shared" si="10"/>
        <v>Small holder</v>
      </c>
      <c r="O122" s="9" t="str">
        <f t="shared" si="11"/>
        <v>On Schedule</v>
      </c>
      <c r="P122" s="9" t="str">
        <f t="shared" si="12"/>
        <v>Not eligible</v>
      </c>
      <c r="Q122" s="9">
        <f t="shared" si="13"/>
        <v>92</v>
      </c>
      <c r="R122" s="9" t="str">
        <f t="shared" si="14"/>
        <v>SW</v>
      </c>
      <c r="S122" s="9" t="str">
        <f t="shared" si="15"/>
        <v>MIL</v>
      </c>
      <c r="T122" s="9" t="str">
        <f t="shared" si="16"/>
        <v>Suleiman Danladi</v>
      </c>
      <c r="U122" t="str">
        <f t="shared" si="17"/>
        <v>May</v>
      </c>
    </row>
    <row r="123" spans="1:21" ht="14.25" customHeight="1" x14ac:dyDescent="0.25">
      <c r="A123" s="10">
        <v>122</v>
      </c>
      <c r="B123" s="11" t="s">
        <v>298</v>
      </c>
      <c r="C123" s="11" t="s">
        <v>299</v>
      </c>
      <c r="D123" s="11" t="s">
        <v>61</v>
      </c>
      <c r="E123" s="11" t="s">
        <v>46</v>
      </c>
      <c r="F123" s="12">
        <v>5.3</v>
      </c>
      <c r="G123" s="13">
        <v>45813</v>
      </c>
      <c r="H123" s="13">
        <v>45858</v>
      </c>
      <c r="I123" s="13">
        <v>46064</v>
      </c>
      <c r="J123" s="13">
        <v>46055</v>
      </c>
      <c r="K123" s="14">
        <v>48030</v>
      </c>
      <c r="L123" s="11" t="s">
        <v>25</v>
      </c>
      <c r="M123" s="14">
        <v>0</v>
      </c>
      <c r="N123" s="9" t="str">
        <f t="shared" si="10"/>
        <v>Medium scale</v>
      </c>
      <c r="O123" s="9" t="str">
        <f t="shared" si="11"/>
        <v>On Schedule</v>
      </c>
      <c r="P123" s="9" t="str">
        <f t="shared" si="12"/>
        <v>Loan eligible</v>
      </c>
      <c r="Q123" s="9">
        <f t="shared" si="13"/>
        <v>197</v>
      </c>
      <c r="R123" s="9" t="str">
        <f t="shared" si="14"/>
        <v>SW</v>
      </c>
      <c r="S123" s="9" t="str">
        <f t="shared" si="15"/>
        <v>YAM</v>
      </c>
      <c r="T123" s="9" t="str">
        <f t="shared" si="16"/>
        <v>Uche Mohammed</v>
      </c>
      <c r="U123" t="str">
        <f t="shared" si="17"/>
        <v>February</v>
      </c>
    </row>
    <row r="124" spans="1:21" ht="14.25" customHeight="1" x14ac:dyDescent="0.25">
      <c r="A124" s="4">
        <v>123</v>
      </c>
      <c r="B124" s="5" t="s">
        <v>300</v>
      </c>
      <c r="C124" s="5" t="s">
        <v>301</v>
      </c>
      <c r="D124" s="5" t="s">
        <v>52</v>
      </c>
      <c r="E124" s="5" t="s">
        <v>66</v>
      </c>
      <c r="F124" s="6">
        <v>1.1000000000000001</v>
      </c>
      <c r="G124" s="7">
        <v>45395</v>
      </c>
      <c r="H124" s="7">
        <v>45461</v>
      </c>
      <c r="I124" s="7">
        <v>45552</v>
      </c>
      <c r="J124" s="7">
        <v>45556</v>
      </c>
      <c r="K124" s="8">
        <v>720</v>
      </c>
      <c r="L124" s="5" t="s">
        <v>25</v>
      </c>
      <c r="M124" s="8">
        <v>66000</v>
      </c>
      <c r="N124" s="9" t="str">
        <f t="shared" si="10"/>
        <v>Small holder</v>
      </c>
      <c r="O124" s="9" t="str">
        <f t="shared" si="11"/>
        <v>Delayed</v>
      </c>
      <c r="P124" s="9" t="str">
        <f t="shared" si="12"/>
        <v>Not eligible</v>
      </c>
      <c r="Q124" s="9">
        <f t="shared" si="13"/>
        <v>95</v>
      </c>
      <c r="R124" s="9" t="str">
        <f t="shared" si="14"/>
        <v>SE</v>
      </c>
      <c r="S124" s="9" t="str">
        <f t="shared" si="15"/>
        <v>MIL</v>
      </c>
      <c r="T124" s="9" t="str">
        <f t="shared" si="16"/>
        <v>Nkechi Lawal</v>
      </c>
      <c r="U124" t="str">
        <f t="shared" si="17"/>
        <v>September</v>
      </c>
    </row>
    <row r="125" spans="1:21" ht="14.25" customHeight="1" x14ac:dyDescent="0.25">
      <c r="A125" s="10">
        <v>124</v>
      </c>
      <c r="B125" s="11" t="s">
        <v>302</v>
      </c>
      <c r="C125" s="11" t="s">
        <v>303</v>
      </c>
      <c r="D125" s="11" t="s">
        <v>61</v>
      </c>
      <c r="E125" s="11" t="s">
        <v>53</v>
      </c>
      <c r="F125" s="12">
        <v>1.7</v>
      </c>
      <c r="G125" s="13">
        <v>45671</v>
      </c>
      <c r="H125" s="13">
        <v>45769</v>
      </c>
      <c r="I125" s="13">
        <v>45893</v>
      </c>
      <c r="J125" s="13">
        <v>45893</v>
      </c>
      <c r="K125" s="14">
        <v>1920</v>
      </c>
      <c r="L125" s="11" t="s">
        <v>35</v>
      </c>
      <c r="M125" s="14">
        <v>0</v>
      </c>
      <c r="N125" s="9" t="str">
        <f t="shared" si="10"/>
        <v>Small holder</v>
      </c>
      <c r="O125" s="9" t="str">
        <f t="shared" si="11"/>
        <v>On Schedule</v>
      </c>
      <c r="P125" s="9" t="str">
        <f t="shared" si="12"/>
        <v>Not eligible</v>
      </c>
      <c r="Q125" s="9">
        <f t="shared" si="13"/>
        <v>124</v>
      </c>
      <c r="R125" s="9" t="str">
        <f t="shared" si="14"/>
        <v>SW</v>
      </c>
      <c r="S125" s="9" t="str">
        <f t="shared" si="15"/>
        <v>SOR</v>
      </c>
      <c r="T125" s="9" t="str">
        <f t="shared" si="16"/>
        <v>Obioma Okafor</v>
      </c>
      <c r="U125" t="str">
        <f t="shared" si="17"/>
        <v>August</v>
      </c>
    </row>
    <row r="126" spans="1:21" ht="14.25" customHeight="1" x14ac:dyDescent="0.25">
      <c r="A126" s="4">
        <v>125</v>
      </c>
      <c r="B126" s="5" t="s">
        <v>304</v>
      </c>
      <c r="C126" s="5" t="s">
        <v>305</v>
      </c>
      <c r="D126" s="5" t="s">
        <v>52</v>
      </c>
      <c r="E126" s="5" t="s">
        <v>53</v>
      </c>
      <c r="F126" s="6">
        <v>4.2</v>
      </c>
      <c r="G126" s="7">
        <v>45565</v>
      </c>
      <c r="H126" s="7">
        <v>45744</v>
      </c>
      <c r="I126" s="7">
        <v>45863</v>
      </c>
      <c r="J126" s="7">
        <v>45862</v>
      </c>
      <c r="K126" s="8">
        <v>4720</v>
      </c>
      <c r="L126" s="5" t="s">
        <v>35</v>
      </c>
      <c r="M126" s="8">
        <v>286000</v>
      </c>
      <c r="N126" s="9" t="str">
        <f t="shared" si="10"/>
        <v>Medium scale</v>
      </c>
      <c r="O126" s="9" t="str">
        <f t="shared" si="11"/>
        <v>On Schedule</v>
      </c>
      <c r="P126" s="9" t="str">
        <f t="shared" si="12"/>
        <v>Not eligible</v>
      </c>
      <c r="Q126" s="9">
        <f t="shared" si="13"/>
        <v>118</v>
      </c>
      <c r="R126" s="9" t="str">
        <f t="shared" si="14"/>
        <v>SE</v>
      </c>
      <c r="S126" s="9" t="str">
        <f t="shared" si="15"/>
        <v>SOR</v>
      </c>
      <c r="T126" s="9" t="str">
        <f t="shared" si="16"/>
        <v>Ngozi Anyanwu</v>
      </c>
      <c r="U126" t="str">
        <f t="shared" si="17"/>
        <v>July</v>
      </c>
    </row>
    <row r="127" spans="1:21" ht="14.25" customHeight="1" x14ac:dyDescent="0.25">
      <c r="A127" s="10">
        <v>126</v>
      </c>
      <c r="B127" s="11" t="s">
        <v>306</v>
      </c>
      <c r="C127" s="11" t="s">
        <v>307</v>
      </c>
      <c r="D127" s="11" t="s">
        <v>28</v>
      </c>
      <c r="E127" s="11" t="s">
        <v>46</v>
      </c>
      <c r="F127" s="12">
        <v>0.6</v>
      </c>
      <c r="G127" s="13">
        <v>45657</v>
      </c>
      <c r="H127" s="13">
        <v>45747</v>
      </c>
      <c r="I127" s="13">
        <v>45952</v>
      </c>
      <c r="J127" s="13">
        <v>45982</v>
      </c>
      <c r="K127" s="14">
        <v>3790</v>
      </c>
      <c r="L127" s="11" t="s">
        <v>30</v>
      </c>
      <c r="M127" s="14">
        <v>0</v>
      </c>
      <c r="N127" s="9" t="str">
        <f t="shared" si="10"/>
        <v>Small holder</v>
      </c>
      <c r="O127" s="9" t="str">
        <f t="shared" si="11"/>
        <v>Delayed</v>
      </c>
      <c r="P127" s="9" t="str">
        <f t="shared" si="12"/>
        <v>Not eligible</v>
      </c>
      <c r="Q127" s="9">
        <f t="shared" si="13"/>
        <v>235</v>
      </c>
      <c r="R127" s="9" t="str">
        <f t="shared" si="14"/>
        <v>NE</v>
      </c>
      <c r="S127" s="9" t="str">
        <f t="shared" si="15"/>
        <v>YAM</v>
      </c>
      <c r="T127" s="9" t="str">
        <f t="shared" si="16"/>
        <v>Oluwaseun Adisa</v>
      </c>
      <c r="U127" t="str">
        <f t="shared" si="17"/>
        <v>November</v>
      </c>
    </row>
    <row r="128" spans="1:21" ht="14.25" customHeight="1" x14ac:dyDescent="0.25">
      <c r="A128" s="4">
        <v>127</v>
      </c>
      <c r="B128" s="5" t="s">
        <v>308</v>
      </c>
      <c r="C128" s="5" t="s">
        <v>309</v>
      </c>
      <c r="D128" s="5" t="s">
        <v>52</v>
      </c>
      <c r="E128" s="5" t="s">
        <v>34</v>
      </c>
      <c r="F128" s="6">
        <v>4.4000000000000004</v>
      </c>
      <c r="G128" s="7">
        <v>45271</v>
      </c>
      <c r="H128" s="7">
        <v>45405</v>
      </c>
      <c r="I128" s="7">
        <v>45770</v>
      </c>
      <c r="J128" s="7">
        <v>45807</v>
      </c>
      <c r="K128" s="8">
        <v>1940</v>
      </c>
      <c r="L128" s="5" t="s">
        <v>30</v>
      </c>
      <c r="M128" s="8">
        <v>265000</v>
      </c>
      <c r="N128" s="9" t="str">
        <f t="shared" si="10"/>
        <v>Medium scale</v>
      </c>
      <c r="O128" s="9" t="str">
        <f t="shared" si="11"/>
        <v>Delayed</v>
      </c>
      <c r="P128" s="9" t="str">
        <f t="shared" si="12"/>
        <v>Not eligible</v>
      </c>
      <c r="Q128" s="9">
        <f t="shared" si="13"/>
        <v>402</v>
      </c>
      <c r="R128" s="9" t="str">
        <f t="shared" si="14"/>
        <v>SE</v>
      </c>
      <c r="S128" s="9" t="str">
        <f t="shared" si="15"/>
        <v>COC</v>
      </c>
      <c r="T128" s="9" t="str">
        <f t="shared" si="16"/>
        <v>Tunde Onyeka</v>
      </c>
      <c r="U128" t="str">
        <f t="shared" si="17"/>
        <v>May</v>
      </c>
    </row>
    <row r="129" spans="1:21" ht="14.25" customHeight="1" x14ac:dyDescent="0.25">
      <c r="A129" s="10">
        <v>128</v>
      </c>
      <c r="B129" s="11" t="s">
        <v>310</v>
      </c>
      <c r="C129" s="11" t="s">
        <v>311</v>
      </c>
      <c r="D129" s="11" t="s">
        <v>61</v>
      </c>
      <c r="E129" s="11" t="s">
        <v>53</v>
      </c>
      <c r="F129" s="12">
        <v>1.4</v>
      </c>
      <c r="G129" s="13">
        <v>45721</v>
      </c>
      <c r="H129" s="13">
        <v>45874</v>
      </c>
      <c r="I129" s="13">
        <v>45992</v>
      </c>
      <c r="J129" s="13">
        <v>45992</v>
      </c>
      <c r="K129" s="14">
        <v>1760</v>
      </c>
      <c r="L129" s="11" t="s">
        <v>25</v>
      </c>
      <c r="M129" s="14">
        <v>82000</v>
      </c>
      <c r="N129" s="9" t="str">
        <f t="shared" si="10"/>
        <v>Small holder</v>
      </c>
      <c r="O129" s="9" t="str">
        <f t="shared" si="11"/>
        <v>On Schedule</v>
      </c>
      <c r="P129" s="9" t="str">
        <f t="shared" si="12"/>
        <v>Not eligible</v>
      </c>
      <c r="Q129" s="9">
        <f t="shared" si="13"/>
        <v>118</v>
      </c>
      <c r="R129" s="9" t="str">
        <f t="shared" si="14"/>
        <v>SW</v>
      </c>
      <c r="S129" s="9" t="str">
        <f t="shared" si="15"/>
        <v>SOR</v>
      </c>
      <c r="T129" s="9" t="str">
        <f t="shared" si="16"/>
        <v>Peter Balogun</v>
      </c>
      <c r="U129" t="str">
        <f t="shared" si="17"/>
        <v>December</v>
      </c>
    </row>
    <row r="130" spans="1:21" ht="14.25" customHeight="1" x14ac:dyDescent="0.25">
      <c r="A130" s="4">
        <v>129</v>
      </c>
      <c r="B130" s="5" t="s">
        <v>312</v>
      </c>
      <c r="C130" s="5" t="s">
        <v>313</v>
      </c>
      <c r="D130" s="5" t="s">
        <v>61</v>
      </c>
      <c r="E130" s="5" t="s">
        <v>49</v>
      </c>
      <c r="F130" s="6">
        <v>1.1000000000000001</v>
      </c>
      <c r="G130" s="7">
        <v>45355</v>
      </c>
      <c r="H130" s="7">
        <v>45398</v>
      </c>
      <c r="I130" s="7">
        <v>45694</v>
      </c>
      <c r="J130" s="7">
        <v>45721</v>
      </c>
      <c r="K130" s="8">
        <v>11010</v>
      </c>
      <c r="L130" s="5" t="s">
        <v>35</v>
      </c>
      <c r="M130" s="8">
        <v>72000</v>
      </c>
      <c r="N130" s="9" t="str">
        <f t="shared" ref="N130:N193" si="18">IF(F130&lt;2,"Small holder",IF(F130&lt;=10,"Medium scale","Commercial"))</f>
        <v>Small holder</v>
      </c>
      <c r="O130" s="9" t="str">
        <f t="shared" ref="O130:O193" si="19">IF(J130&gt;I130,"Delayed","On Schedule")</f>
        <v>Delayed</v>
      </c>
      <c r="P130" s="9" t="str">
        <f t="shared" ref="P130:P193" si="20">IF(AND(L130="Good",F130&gt;=2),"Loan eligible","Not eligible")</f>
        <v>Not eligible</v>
      </c>
      <c r="Q130" s="9">
        <f t="shared" ref="Q130:Q193" si="21">J130-H130</f>
        <v>323</v>
      </c>
      <c r="R130" s="9" t="str">
        <f t="shared" ref="R130:R193" si="22">LEFT(B130,2)</f>
        <v>SW</v>
      </c>
      <c r="S130" s="9" t="str">
        <f t="shared" ref="S130:S193" si="23">MID(B130,4,3)</f>
        <v>CAS</v>
      </c>
      <c r="T130" s="9" t="str">
        <f t="shared" ref="T130:T193" si="24">TRIM(C130)</f>
        <v>Mary Ibe</v>
      </c>
      <c r="U130" t="str">
        <f t="shared" si="17"/>
        <v>March</v>
      </c>
    </row>
    <row r="131" spans="1:21" ht="14.25" customHeight="1" x14ac:dyDescent="0.25">
      <c r="A131" s="10">
        <v>130</v>
      </c>
      <c r="B131" s="11" t="s">
        <v>314</v>
      </c>
      <c r="C131" s="11" t="s">
        <v>315</v>
      </c>
      <c r="D131" s="11" t="s">
        <v>23</v>
      </c>
      <c r="E131" s="11" t="s">
        <v>58</v>
      </c>
      <c r="F131" s="12">
        <v>9.9</v>
      </c>
      <c r="G131" s="13">
        <v>45416</v>
      </c>
      <c r="H131" s="13">
        <v>45555</v>
      </c>
      <c r="I131" s="13">
        <v>45657</v>
      </c>
      <c r="J131" s="13">
        <v>45655</v>
      </c>
      <c r="K131" s="14">
        <v>24150</v>
      </c>
      <c r="L131" s="11" t="s">
        <v>25</v>
      </c>
      <c r="M131" s="14">
        <v>597000</v>
      </c>
      <c r="N131" s="9" t="str">
        <f t="shared" si="18"/>
        <v>Medium scale</v>
      </c>
      <c r="O131" s="9" t="str">
        <f t="shared" si="19"/>
        <v>On Schedule</v>
      </c>
      <c r="P131" s="9" t="str">
        <f t="shared" si="20"/>
        <v>Loan eligible</v>
      </c>
      <c r="Q131" s="9">
        <f t="shared" si="21"/>
        <v>100</v>
      </c>
      <c r="R131" s="9" t="str">
        <f t="shared" si="22"/>
        <v>SS</v>
      </c>
      <c r="S131" s="9" t="str">
        <f t="shared" si="23"/>
        <v>MAZ</v>
      </c>
      <c r="T131" s="9" t="str">
        <f t="shared" si="24"/>
        <v>Blessing Okoye</v>
      </c>
      <c r="U131" t="str">
        <f t="shared" ref="U131:U194" si="25">TEXT(J131,"MMMM")</f>
        <v>December</v>
      </c>
    </row>
    <row r="132" spans="1:21" ht="14.25" customHeight="1" x14ac:dyDescent="0.25">
      <c r="A132" s="4">
        <v>131</v>
      </c>
      <c r="B132" s="5" t="s">
        <v>316</v>
      </c>
      <c r="C132" s="5" t="s">
        <v>317</v>
      </c>
      <c r="D132" s="5" t="s">
        <v>23</v>
      </c>
      <c r="E132" s="5" t="s">
        <v>53</v>
      </c>
      <c r="F132" s="6">
        <v>1.3</v>
      </c>
      <c r="G132" s="7">
        <v>45157</v>
      </c>
      <c r="H132" s="7">
        <v>45238</v>
      </c>
      <c r="I132" s="7">
        <v>45362</v>
      </c>
      <c r="J132" s="7">
        <v>45359</v>
      </c>
      <c r="K132" s="8">
        <v>1740</v>
      </c>
      <c r="L132" s="5" t="s">
        <v>25</v>
      </c>
      <c r="M132" s="8">
        <v>74000</v>
      </c>
      <c r="N132" s="9" t="str">
        <f t="shared" si="18"/>
        <v>Small holder</v>
      </c>
      <c r="O132" s="9" t="str">
        <f t="shared" si="19"/>
        <v>On Schedule</v>
      </c>
      <c r="P132" s="9" t="str">
        <f t="shared" si="20"/>
        <v>Not eligible</v>
      </c>
      <c r="Q132" s="9">
        <f t="shared" si="21"/>
        <v>121</v>
      </c>
      <c r="R132" s="9" t="str">
        <f t="shared" si="22"/>
        <v>SS</v>
      </c>
      <c r="S132" s="9" t="str">
        <f t="shared" si="23"/>
        <v>SOR</v>
      </c>
      <c r="T132" s="9" t="str">
        <f t="shared" si="24"/>
        <v>Feyisayo Ndubuisi</v>
      </c>
      <c r="U132" t="str">
        <f t="shared" si="25"/>
        <v>March</v>
      </c>
    </row>
    <row r="133" spans="1:21" ht="14.25" customHeight="1" x14ac:dyDescent="0.25">
      <c r="A133" s="10">
        <v>132</v>
      </c>
      <c r="B133" s="11" t="s">
        <v>318</v>
      </c>
      <c r="C133" s="11" t="s">
        <v>319</v>
      </c>
      <c r="D133" s="11" t="s">
        <v>23</v>
      </c>
      <c r="E133" s="11" t="s">
        <v>53</v>
      </c>
      <c r="F133" s="12">
        <v>1.8</v>
      </c>
      <c r="G133" s="13">
        <v>45331</v>
      </c>
      <c r="H133" s="13">
        <v>45424</v>
      </c>
      <c r="I133" s="13">
        <v>45554</v>
      </c>
      <c r="J133" s="13">
        <v>45564</v>
      </c>
      <c r="K133" s="14">
        <v>1890</v>
      </c>
      <c r="L133" s="11" t="s">
        <v>25</v>
      </c>
      <c r="M133" s="14">
        <v>91000</v>
      </c>
      <c r="N133" s="9" t="str">
        <f t="shared" si="18"/>
        <v>Small holder</v>
      </c>
      <c r="O133" s="9" t="str">
        <f t="shared" si="19"/>
        <v>Delayed</v>
      </c>
      <c r="P133" s="9" t="str">
        <f t="shared" si="20"/>
        <v>Not eligible</v>
      </c>
      <c r="Q133" s="9">
        <f t="shared" si="21"/>
        <v>140</v>
      </c>
      <c r="R133" s="9" t="str">
        <f t="shared" si="22"/>
        <v>SS</v>
      </c>
      <c r="S133" s="9" t="str">
        <f t="shared" si="23"/>
        <v>SOR</v>
      </c>
      <c r="T133" s="9" t="str">
        <f t="shared" si="24"/>
        <v>Adebayo Bello</v>
      </c>
      <c r="U133" t="str">
        <f t="shared" si="25"/>
        <v>September</v>
      </c>
    </row>
    <row r="134" spans="1:21" ht="14.25" customHeight="1" x14ac:dyDescent="0.25">
      <c r="A134" s="4">
        <v>133</v>
      </c>
      <c r="B134" s="5" t="s">
        <v>320</v>
      </c>
      <c r="C134" s="5" t="s">
        <v>321</v>
      </c>
      <c r="D134" s="5" t="s">
        <v>61</v>
      </c>
      <c r="E134" s="5" t="s">
        <v>53</v>
      </c>
      <c r="F134" s="6">
        <v>4.0999999999999996</v>
      </c>
      <c r="G134" s="7">
        <v>45502</v>
      </c>
      <c r="H134" s="7">
        <v>45576</v>
      </c>
      <c r="I134" s="7">
        <v>45680</v>
      </c>
      <c r="J134" s="7">
        <v>45671</v>
      </c>
      <c r="K134" s="8">
        <v>4150</v>
      </c>
      <c r="L134" s="5" t="s">
        <v>25</v>
      </c>
      <c r="M134" s="8">
        <v>192000</v>
      </c>
      <c r="N134" s="9" t="str">
        <f t="shared" si="18"/>
        <v>Medium scale</v>
      </c>
      <c r="O134" s="9" t="str">
        <f t="shared" si="19"/>
        <v>On Schedule</v>
      </c>
      <c r="P134" s="9" t="str">
        <f t="shared" si="20"/>
        <v>Loan eligible</v>
      </c>
      <c r="Q134" s="9">
        <f t="shared" si="21"/>
        <v>95</v>
      </c>
      <c r="R134" s="9" t="str">
        <f t="shared" si="22"/>
        <v>SW</v>
      </c>
      <c r="S134" s="9" t="str">
        <f t="shared" si="23"/>
        <v>SOR</v>
      </c>
      <c r="T134" s="9" t="str">
        <f t="shared" si="24"/>
        <v>Precious Ndubuisi</v>
      </c>
      <c r="U134" t="str">
        <f t="shared" si="25"/>
        <v>January</v>
      </c>
    </row>
    <row r="135" spans="1:21" ht="14.25" customHeight="1" x14ac:dyDescent="0.25">
      <c r="A135" s="10">
        <v>134</v>
      </c>
      <c r="B135" s="11" t="s">
        <v>322</v>
      </c>
      <c r="C135" s="11" t="s">
        <v>323</v>
      </c>
      <c r="D135" s="11" t="s">
        <v>28</v>
      </c>
      <c r="E135" s="11" t="s">
        <v>58</v>
      </c>
      <c r="F135" s="12">
        <v>1.5</v>
      </c>
      <c r="G135" s="13">
        <v>45067</v>
      </c>
      <c r="H135" s="13">
        <v>45073</v>
      </c>
      <c r="I135" s="13">
        <v>45193</v>
      </c>
      <c r="J135" s="13">
        <v>45204</v>
      </c>
      <c r="K135" s="14">
        <v>3540</v>
      </c>
      <c r="L135" s="11" t="s">
        <v>30</v>
      </c>
      <c r="M135" s="14">
        <v>81000</v>
      </c>
      <c r="N135" s="9" t="str">
        <f t="shared" si="18"/>
        <v>Small holder</v>
      </c>
      <c r="O135" s="9" t="str">
        <f t="shared" si="19"/>
        <v>Delayed</v>
      </c>
      <c r="P135" s="9" t="str">
        <f t="shared" si="20"/>
        <v>Not eligible</v>
      </c>
      <c r="Q135" s="9">
        <f t="shared" si="21"/>
        <v>131</v>
      </c>
      <c r="R135" s="9" t="str">
        <f t="shared" si="22"/>
        <v>NE</v>
      </c>
      <c r="S135" s="9" t="str">
        <f t="shared" si="23"/>
        <v>MAZ</v>
      </c>
      <c r="T135" s="9" t="str">
        <f t="shared" si="24"/>
        <v>Chiamaka Uzoma</v>
      </c>
      <c r="U135" t="str">
        <f t="shared" si="25"/>
        <v>October</v>
      </c>
    </row>
    <row r="136" spans="1:21" ht="14.25" customHeight="1" x14ac:dyDescent="0.25">
      <c r="A136" s="4">
        <v>135</v>
      </c>
      <c r="B136" s="5" t="s">
        <v>324</v>
      </c>
      <c r="C136" s="5" t="s">
        <v>325</v>
      </c>
      <c r="D136" s="5" t="s">
        <v>28</v>
      </c>
      <c r="E136" s="5" t="s">
        <v>53</v>
      </c>
      <c r="F136" s="6">
        <v>11.3</v>
      </c>
      <c r="G136" s="7">
        <v>45514</v>
      </c>
      <c r="H136" s="7">
        <v>45578</v>
      </c>
      <c r="I136" s="7">
        <v>45695</v>
      </c>
      <c r="J136" s="7">
        <v>45698</v>
      </c>
      <c r="K136" s="8">
        <v>16920</v>
      </c>
      <c r="L136" s="5" t="s">
        <v>25</v>
      </c>
      <c r="M136" s="8">
        <v>512000</v>
      </c>
      <c r="N136" s="9" t="str">
        <f t="shared" si="18"/>
        <v>Commercial</v>
      </c>
      <c r="O136" s="9" t="str">
        <f t="shared" si="19"/>
        <v>Delayed</v>
      </c>
      <c r="P136" s="9" t="str">
        <f t="shared" si="20"/>
        <v>Loan eligible</v>
      </c>
      <c r="Q136" s="9">
        <f t="shared" si="21"/>
        <v>120</v>
      </c>
      <c r="R136" s="9" t="str">
        <f t="shared" si="22"/>
        <v>NE</v>
      </c>
      <c r="S136" s="9" t="str">
        <f t="shared" si="23"/>
        <v>SOR</v>
      </c>
      <c r="T136" s="9" t="str">
        <f t="shared" si="24"/>
        <v>Aisha Ojo</v>
      </c>
      <c r="U136" t="str">
        <f t="shared" si="25"/>
        <v>February</v>
      </c>
    </row>
    <row r="137" spans="1:21" ht="14.25" customHeight="1" x14ac:dyDescent="0.25">
      <c r="A137" s="10">
        <v>136</v>
      </c>
      <c r="B137" s="11" t="s">
        <v>326</v>
      </c>
      <c r="C137" s="11" t="s">
        <v>327</v>
      </c>
      <c r="D137" s="11" t="s">
        <v>33</v>
      </c>
      <c r="E137" s="11" t="s">
        <v>29</v>
      </c>
      <c r="F137" s="12">
        <v>8.9</v>
      </c>
      <c r="G137" s="13">
        <v>45223</v>
      </c>
      <c r="H137" s="13">
        <v>45237</v>
      </c>
      <c r="I137" s="13">
        <v>45327</v>
      </c>
      <c r="J137" s="13">
        <v>45318</v>
      </c>
      <c r="K137" s="14">
        <v>6800</v>
      </c>
      <c r="L137" s="11" t="s">
        <v>30</v>
      </c>
      <c r="M137" s="14">
        <v>620000</v>
      </c>
      <c r="N137" s="9" t="str">
        <f t="shared" si="18"/>
        <v>Medium scale</v>
      </c>
      <c r="O137" s="9" t="str">
        <f t="shared" si="19"/>
        <v>On Schedule</v>
      </c>
      <c r="P137" s="9" t="str">
        <f t="shared" si="20"/>
        <v>Not eligible</v>
      </c>
      <c r="Q137" s="9">
        <f t="shared" si="21"/>
        <v>81</v>
      </c>
      <c r="R137" s="9" t="str">
        <f t="shared" si="22"/>
        <v>NW</v>
      </c>
      <c r="S137" s="9" t="str">
        <f t="shared" si="23"/>
        <v>GRN</v>
      </c>
      <c r="T137" s="9" t="str">
        <f t="shared" si="24"/>
        <v>Peter Nwachukwu</v>
      </c>
      <c r="U137" t="str">
        <f t="shared" si="25"/>
        <v>January</v>
      </c>
    </row>
    <row r="138" spans="1:21" ht="14.25" customHeight="1" x14ac:dyDescent="0.25">
      <c r="A138" s="4">
        <v>137</v>
      </c>
      <c r="B138" s="5" t="s">
        <v>328</v>
      </c>
      <c r="C138" s="5" t="s">
        <v>329</v>
      </c>
      <c r="D138" s="5" t="s">
        <v>52</v>
      </c>
      <c r="E138" s="5" t="s">
        <v>66</v>
      </c>
      <c r="F138" s="6">
        <v>0.8</v>
      </c>
      <c r="G138" s="7">
        <v>45042</v>
      </c>
      <c r="H138" s="7">
        <v>45131</v>
      </c>
      <c r="I138" s="7">
        <v>45221</v>
      </c>
      <c r="J138" s="7">
        <v>45263</v>
      </c>
      <c r="K138" s="8">
        <v>620</v>
      </c>
      <c r="L138" s="5" t="s">
        <v>25</v>
      </c>
      <c r="M138" s="8">
        <v>51000</v>
      </c>
      <c r="N138" s="9" t="str">
        <f t="shared" si="18"/>
        <v>Small holder</v>
      </c>
      <c r="O138" s="9" t="str">
        <f t="shared" si="19"/>
        <v>Delayed</v>
      </c>
      <c r="P138" s="9" t="str">
        <f t="shared" si="20"/>
        <v>Not eligible</v>
      </c>
      <c r="Q138" s="9">
        <f t="shared" si="21"/>
        <v>132</v>
      </c>
      <c r="R138" s="9" t="str">
        <f t="shared" si="22"/>
        <v>SE</v>
      </c>
      <c r="S138" s="9" t="str">
        <f t="shared" si="23"/>
        <v>MIL</v>
      </c>
      <c r="T138" s="9" t="str">
        <f t="shared" si="24"/>
        <v>Aminu Okoye</v>
      </c>
      <c r="U138" t="str">
        <f t="shared" si="25"/>
        <v>December</v>
      </c>
    </row>
    <row r="139" spans="1:21" ht="14.25" customHeight="1" x14ac:dyDescent="0.25">
      <c r="A139" s="10">
        <v>138</v>
      </c>
      <c r="B139" s="11" t="s">
        <v>330</v>
      </c>
      <c r="C139" s="11" t="s">
        <v>331</v>
      </c>
      <c r="D139" s="11" t="s">
        <v>52</v>
      </c>
      <c r="E139" s="11" t="s">
        <v>46</v>
      </c>
      <c r="F139" s="12">
        <v>8.5</v>
      </c>
      <c r="G139" s="13">
        <v>45454</v>
      </c>
      <c r="H139" s="13">
        <v>45542</v>
      </c>
      <c r="I139" s="13">
        <v>45724</v>
      </c>
      <c r="J139" s="13">
        <v>45723</v>
      </c>
      <c r="K139" s="14">
        <v>55140</v>
      </c>
      <c r="L139" s="11" t="s">
        <v>25</v>
      </c>
      <c r="M139" s="14">
        <v>403000</v>
      </c>
      <c r="N139" s="9" t="str">
        <f t="shared" si="18"/>
        <v>Medium scale</v>
      </c>
      <c r="O139" s="9" t="str">
        <f t="shared" si="19"/>
        <v>On Schedule</v>
      </c>
      <c r="P139" s="9" t="str">
        <f t="shared" si="20"/>
        <v>Loan eligible</v>
      </c>
      <c r="Q139" s="9">
        <f t="shared" si="21"/>
        <v>181</v>
      </c>
      <c r="R139" s="9" t="str">
        <f t="shared" si="22"/>
        <v>SE</v>
      </c>
      <c r="S139" s="9" t="str">
        <f t="shared" si="23"/>
        <v>YAM</v>
      </c>
      <c r="T139" s="9" t="str">
        <f t="shared" si="24"/>
        <v>Bola Okeke</v>
      </c>
      <c r="U139" t="str">
        <f t="shared" si="25"/>
        <v>March</v>
      </c>
    </row>
    <row r="140" spans="1:21" ht="14.25" customHeight="1" x14ac:dyDescent="0.25">
      <c r="A140" s="4">
        <v>139</v>
      </c>
      <c r="B140" s="5" t="s">
        <v>332</v>
      </c>
      <c r="C140" s="5" t="s">
        <v>333</v>
      </c>
      <c r="D140" s="5" t="s">
        <v>76</v>
      </c>
      <c r="E140" s="5" t="s">
        <v>29</v>
      </c>
      <c r="F140" s="6">
        <v>14.5</v>
      </c>
      <c r="G140" s="7">
        <v>45667</v>
      </c>
      <c r="H140" s="7">
        <v>45818</v>
      </c>
      <c r="I140" s="7">
        <v>45908</v>
      </c>
      <c r="J140" s="7">
        <v>45903</v>
      </c>
      <c r="K140" s="8">
        <v>16180</v>
      </c>
      <c r="L140" s="5" t="s">
        <v>25</v>
      </c>
      <c r="M140" s="8">
        <v>0</v>
      </c>
      <c r="N140" s="9" t="str">
        <f t="shared" si="18"/>
        <v>Commercial</v>
      </c>
      <c r="O140" s="9" t="str">
        <f t="shared" si="19"/>
        <v>On Schedule</v>
      </c>
      <c r="P140" s="9" t="str">
        <f t="shared" si="20"/>
        <v>Loan eligible</v>
      </c>
      <c r="Q140" s="9">
        <f t="shared" si="21"/>
        <v>85</v>
      </c>
      <c r="R140" s="9" t="str">
        <f t="shared" si="22"/>
        <v>NC</v>
      </c>
      <c r="S140" s="9" t="str">
        <f t="shared" si="23"/>
        <v>GRN</v>
      </c>
      <c r="T140" s="9" t="str">
        <f t="shared" si="24"/>
        <v>Ayodele Obi</v>
      </c>
      <c r="U140" t="str">
        <f t="shared" si="25"/>
        <v>September</v>
      </c>
    </row>
    <row r="141" spans="1:21" ht="14.25" customHeight="1" x14ac:dyDescent="0.25">
      <c r="A141" s="10">
        <v>140</v>
      </c>
      <c r="B141" s="11" t="s">
        <v>334</v>
      </c>
      <c r="C141" s="11" t="s">
        <v>335</v>
      </c>
      <c r="D141" s="11" t="s">
        <v>76</v>
      </c>
      <c r="E141" s="11" t="s">
        <v>49</v>
      </c>
      <c r="F141" s="12">
        <v>8.1</v>
      </c>
      <c r="G141" s="13">
        <v>45633</v>
      </c>
      <c r="H141" s="13">
        <v>45668</v>
      </c>
      <c r="I141" s="13">
        <v>45978</v>
      </c>
      <c r="J141" s="13">
        <v>45997</v>
      </c>
      <c r="K141" s="14">
        <v>74560</v>
      </c>
      <c r="L141" s="11" t="s">
        <v>25</v>
      </c>
      <c r="M141" s="14">
        <v>440000</v>
      </c>
      <c r="N141" s="9" t="str">
        <f t="shared" si="18"/>
        <v>Medium scale</v>
      </c>
      <c r="O141" s="9" t="str">
        <f t="shared" si="19"/>
        <v>Delayed</v>
      </c>
      <c r="P141" s="9" t="str">
        <f t="shared" si="20"/>
        <v>Loan eligible</v>
      </c>
      <c r="Q141" s="9">
        <f t="shared" si="21"/>
        <v>329</v>
      </c>
      <c r="R141" s="9" t="str">
        <f t="shared" si="22"/>
        <v>NC</v>
      </c>
      <c r="S141" s="9" t="str">
        <f t="shared" si="23"/>
        <v>CAS</v>
      </c>
      <c r="T141" s="9" t="str">
        <f t="shared" si="24"/>
        <v>Halima Adisa</v>
      </c>
      <c r="U141" t="str">
        <f t="shared" si="25"/>
        <v>December</v>
      </c>
    </row>
    <row r="142" spans="1:21" ht="14.25" customHeight="1" x14ac:dyDescent="0.25">
      <c r="A142" s="4">
        <v>141</v>
      </c>
      <c r="B142" s="5" t="s">
        <v>336</v>
      </c>
      <c r="C142" s="5" t="s">
        <v>337</v>
      </c>
      <c r="D142" s="5" t="s">
        <v>61</v>
      </c>
      <c r="E142" s="5" t="s">
        <v>34</v>
      </c>
      <c r="F142" s="6">
        <v>8.3000000000000007</v>
      </c>
      <c r="G142" s="7">
        <v>45772</v>
      </c>
      <c r="H142" s="7">
        <v>45832</v>
      </c>
      <c r="I142" s="7">
        <v>46163</v>
      </c>
      <c r="J142" s="7">
        <v>46202</v>
      </c>
      <c r="K142" s="8">
        <v>5080</v>
      </c>
      <c r="L142" s="5" t="s">
        <v>25</v>
      </c>
      <c r="M142" s="8">
        <v>507000</v>
      </c>
      <c r="N142" s="9" t="str">
        <f t="shared" si="18"/>
        <v>Medium scale</v>
      </c>
      <c r="O142" s="9" t="str">
        <f t="shared" si="19"/>
        <v>Delayed</v>
      </c>
      <c r="P142" s="9" t="str">
        <f t="shared" si="20"/>
        <v>Loan eligible</v>
      </c>
      <c r="Q142" s="9">
        <f t="shared" si="21"/>
        <v>370</v>
      </c>
      <c r="R142" s="9" t="str">
        <f t="shared" si="22"/>
        <v>SW</v>
      </c>
      <c r="S142" s="9" t="str">
        <f t="shared" si="23"/>
        <v>COC</v>
      </c>
      <c r="T142" s="9" t="str">
        <f t="shared" si="24"/>
        <v>Abdullahi Salihu</v>
      </c>
      <c r="U142" t="str">
        <f t="shared" si="25"/>
        <v>June</v>
      </c>
    </row>
    <row r="143" spans="1:21" ht="14.25" customHeight="1" x14ac:dyDescent="0.25">
      <c r="A143" s="10">
        <v>142</v>
      </c>
      <c r="B143" s="11" t="s">
        <v>338</v>
      </c>
      <c r="C143" s="11" t="s">
        <v>339</v>
      </c>
      <c r="D143" s="11" t="s">
        <v>33</v>
      </c>
      <c r="E143" s="11" t="s">
        <v>24</v>
      </c>
      <c r="F143" s="12">
        <v>1.3</v>
      </c>
      <c r="G143" s="13">
        <v>45095</v>
      </c>
      <c r="H143" s="13">
        <v>45183</v>
      </c>
      <c r="I143" s="13">
        <v>45330</v>
      </c>
      <c r="J143" s="13">
        <v>45338</v>
      </c>
      <c r="K143" s="14">
        <v>4320</v>
      </c>
      <c r="L143" s="11" t="s">
        <v>35</v>
      </c>
      <c r="M143" s="14">
        <v>87000</v>
      </c>
      <c r="N143" s="9" t="str">
        <f t="shared" si="18"/>
        <v>Small holder</v>
      </c>
      <c r="O143" s="9" t="str">
        <f t="shared" si="19"/>
        <v>Delayed</v>
      </c>
      <c r="P143" s="9" t="str">
        <f t="shared" si="20"/>
        <v>Not eligible</v>
      </c>
      <c r="Q143" s="9">
        <f t="shared" si="21"/>
        <v>155</v>
      </c>
      <c r="R143" s="9" t="str">
        <f t="shared" si="22"/>
        <v>NW</v>
      </c>
      <c r="S143" s="9" t="str">
        <f t="shared" si="23"/>
        <v>RIC</v>
      </c>
      <c r="T143" s="9" t="str">
        <f t="shared" si="24"/>
        <v>Emeka Salihu</v>
      </c>
      <c r="U143" t="str">
        <f t="shared" si="25"/>
        <v>February</v>
      </c>
    </row>
    <row r="144" spans="1:21" ht="14.25" customHeight="1" x14ac:dyDescent="0.25">
      <c r="A144" s="4">
        <v>143</v>
      </c>
      <c r="B144" s="5" t="s">
        <v>340</v>
      </c>
      <c r="C144" s="5" t="s">
        <v>341</v>
      </c>
      <c r="D144" s="5" t="s">
        <v>61</v>
      </c>
      <c r="E144" s="5" t="s">
        <v>58</v>
      </c>
      <c r="F144" s="6">
        <v>0.6</v>
      </c>
      <c r="G144" s="7">
        <v>45400</v>
      </c>
      <c r="H144" s="7">
        <v>45577</v>
      </c>
      <c r="I144" s="7">
        <v>45692</v>
      </c>
      <c r="J144" s="7">
        <v>45692</v>
      </c>
      <c r="K144" s="8">
        <v>1410</v>
      </c>
      <c r="L144" s="5" t="s">
        <v>30</v>
      </c>
      <c r="M144" s="8">
        <v>34000</v>
      </c>
      <c r="N144" s="9" t="str">
        <f t="shared" si="18"/>
        <v>Small holder</v>
      </c>
      <c r="O144" s="9" t="str">
        <f t="shared" si="19"/>
        <v>On Schedule</v>
      </c>
      <c r="P144" s="9" t="str">
        <f t="shared" si="20"/>
        <v>Not eligible</v>
      </c>
      <c r="Q144" s="9">
        <f t="shared" si="21"/>
        <v>115</v>
      </c>
      <c r="R144" s="9" t="str">
        <f t="shared" si="22"/>
        <v>SW</v>
      </c>
      <c r="S144" s="9" t="str">
        <f t="shared" si="23"/>
        <v>MAZ</v>
      </c>
      <c r="T144" s="9" t="str">
        <f t="shared" si="24"/>
        <v>Suleiman Okoye</v>
      </c>
      <c r="U144" t="str">
        <f t="shared" si="25"/>
        <v>February</v>
      </c>
    </row>
    <row r="145" spans="1:21" ht="14.25" customHeight="1" x14ac:dyDescent="0.25">
      <c r="A145" s="10">
        <v>144</v>
      </c>
      <c r="B145" s="11" t="s">
        <v>342</v>
      </c>
      <c r="C145" s="11" t="s">
        <v>343</v>
      </c>
      <c r="D145" s="11" t="s">
        <v>33</v>
      </c>
      <c r="E145" s="11" t="s">
        <v>29</v>
      </c>
      <c r="F145" s="12">
        <v>1.8</v>
      </c>
      <c r="G145" s="13">
        <v>45410</v>
      </c>
      <c r="H145" s="13">
        <v>45423</v>
      </c>
      <c r="I145" s="13">
        <v>45522</v>
      </c>
      <c r="J145" s="13">
        <v>45520</v>
      </c>
      <c r="K145" s="14">
        <v>2090</v>
      </c>
      <c r="L145" s="11" t="s">
        <v>30</v>
      </c>
      <c r="M145" s="14">
        <v>95000</v>
      </c>
      <c r="N145" s="9" t="str">
        <f t="shared" si="18"/>
        <v>Small holder</v>
      </c>
      <c r="O145" s="9" t="str">
        <f t="shared" si="19"/>
        <v>On Schedule</v>
      </c>
      <c r="P145" s="9" t="str">
        <f t="shared" si="20"/>
        <v>Not eligible</v>
      </c>
      <c r="Q145" s="9">
        <f t="shared" si="21"/>
        <v>97</v>
      </c>
      <c r="R145" s="9" t="str">
        <f t="shared" si="22"/>
        <v>NW</v>
      </c>
      <c r="S145" s="9" t="str">
        <f t="shared" si="23"/>
        <v>GRN</v>
      </c>
      <c r="T145" s="9" t="str">
        <f t="shared" si="24"/>
        <v>Fatima Eze</v>
      </c>
      <c r="U145" t="str">
        <f t="shared" si="25"/>
        <v>August</v>
      </c>
    </row>
    <row r="146" spans="1:21" ht="14.25" customHeight="1" x14ac:dyDescent="0.25">
      <c r="A146" s="4">
        <v>145</v>
      </c>
      <c r="B146" s="5" t="s">
        <v>344</v>
      </c>
      <c r="C146" s="5" t="s">
        <v>345</v>
      </c>
      <c r="D146" s="5" t="s">
        <v>61</v>
      </c>
      <c r="E146" s="5" t="s">
        <v>66</v>
      </c>
      <c r="F146" s="6">
        <v>7.2</v>
      </c>
      <c r="G146" s="7">
        <v>45479</v>
      </c>
      <c r="H146" s="7">
        <v>45518</v>
      </c>
      <c r="I146" s="7">
        <v>45614</v>
      </c>
      <c r="J146" s="7">
        <v>45606</v>
      </c>
      <c r="K146" s="8">
        <v>6060</v>
      </c>
      <c r="L146" s="5" t="s">
        <v>25</v>
      </c>
      <c r="M146" s="8">
        <v>468000</v>
      </c>
      <c r="N146" s="9" t="str">
        <f t="shared" si="18"/>
        <v>Medium scale</v>
      </c>
      <c r="O146" s="9" t="str">
        <f t="shared" si="19"/>
        <v>On Schedule</v>
      </c>
      <c r="P146" s="9" t="str">
        <f t="shared" si="20"/>
        <v>Loan eligible</v>
      </c>
      <c r="Q146" s="9">
        <f t="shared" si="21"/>
        <v>88</v>
      </c>
      <c r="R146" s="9" t="str">
        <f t="shared" si="22"/>
        <v>SW</v>
      </c>
      <c r="S146" s="9" t="str">
        <f t="shared" si="23"/>
        <v>MIL</v>
      </c>
      <c r="T146" s="9" t="str">
        <f t="shared" si="24"/>
        <v>Kabiru Anyanwu</v>
      </c>
      <c r="U146" t="str">
        <f t="shared" si="25"/>
        <v>November</v>
      </c>
    </row>
    <row r="147" spans="1:21" ht="14.25" customHeight="1" x14ac:dyDescent="0.25">
      <c r="A147" s="10">
        <v>146</v>
      </c>
      <c r="B147" s="11" t="s">
        <v>346</v>
      </c>
      <c r="C147" s="11" t="s">
        <v>347</v>
      </c>
      <c r="D147" s="11" t="s">
        <v>33</v>
      </c>
      <c r="E147" s="11" t="s">
        <v>53</v>
      </c>
      <c r="F147" s="12">
        <v>0.8</v>
      </c>
      <c r="G147" s="13">
        <v>45398</v>
      </c>
      <c r="H147" s="13">
        <v>45491</v>
      </c>
      <c r="I147" s="13">
        <v>45595</v>
      </c>
      <c r="J147" s="13">
        <v>45594</v>
      </c>
      <c r="K147" s="14">
        <v>690</v>
      </c>
      <c r="L147" s="11" t="s">
        <v>35</v>
      </c>
      <c r="M147" s="14">
        <v>54000</v>
      </c>
      <c r="N147" s="9" t="str">
        <f t="shared" si="18"/>
        <v>Small holder</v>
      </c>
      <c r="O147" s="9" t="str">
        <f t="shared" si="19"/>
        <v>On Schedule</v>
      </c>
      <c r="P147" s="9" t="str">
        <f t="shared" si="20"/>
        <v>Not eligible</v>
      </c>
      <c r="Q147" s="9">
        <f t="shared" si="21"/>
        <v>103</v>
      </c>
      <c r="R147" s="9" t="str">
        <f t="shared" si="22"/>
        <v>NW</v>
      </c>
      <c r="S147" s="9" t="str">
        <f t="shared" si="23"/>
        <v>SOR</v>
      </c>
      <c r="T147" s="9" t="str">
        <f t="shared" si="24"/>
        <v>Suleiman Akande</v>
      </c>
      <c r="U147" t="str">
        <f t="shared" si="25"/>
        <v>October</v>
      </c>
    </row>
    <row r="148" spans="1:21" ht="14.25" customHeight="1" x14ac:dyDescent="0.25">
      <c r="A148" s="4">
        <v>147</v>
      </c>
      <c r="B148" s="5" t="s">
        <v>348</v>
      </c>
      <c r="C148" s="5" t="s">
        <v>349</v>
      </c>
      <c r="D148" s="5" t="s">
        <v>33</v>
      </c>
      <c r="E148" s="5" t="s">
        <v>46</v>
      </c>
      <c r="F148" s="6">
        <v>1.3</v>
      </c>
      <c r="G148" s="7">
        <v>45647</v>
      </c>
      <c r="H148" s="7">
        <v>45664</v>
      </c>
      <c r="I148" s="7">
        <v>45851</v>
      </c>
      <c r="J148" s="7">
        <v>45877</v>
      </c>
      <c r="K148" s="8">
        <v>10020</v>
      </c>
      <c r="L148" s="5" t="s">
        <v>25</v>
      </c>
      <c r="M148" s="8">
        <v>82000</v>
      </c>
      <c r="N148" s="9" t="str">
        <f t="shared" si="18"/>
        <v>Small holder</v>
      </c>
      <c r="O148" s="9" t="str">
        <f t="shared" si="19"/>
        <v>Delayed</v>
      </c>
      <c r="P148" s="9" t="str">
        <f t="shared" si="20"/>
        <v>Not eligible</v>
      </c>
      <c r="Q148" s="9">
        <f t="shared" si="21"/>
        <v>213</v>
      </c>
      <c r="R148" s="9" t="str">
        <f t="shared" si="22"/>
        <v>NW</v>
      </c>
      <c r="S148" s="9" t="str">
        <f t="shared" si="23"/>
        <v>YAM</v>
      </c>
      <c r="T148" s="9" t="str">
        <f t="shared" si="24"/>
        <v>Segun Eze</v>
      </c>
      <c r="U148" t="str">
        <f t="shared" si="25"/>
        <v>August</v>
      </c>
    </row>
    <row r="149" spans="1:21" ht="14.25" customHeight="1" x14ac:dyDescent="0.25">
      <c r="A149" s="10">
        <v>148</v>
      </c>
      <c r="B149" s="11" t="s">
        <v>350</v>
      </c>
      <c r="C149" s="11" t="s">
        <v>351</v>
      </c>
      <c r="D149" s="11" t="s">
        <v>28</v>
      </c>
      <c r="E149" s="11" t="s">
        <v>53</v>
      </c>
      <c r="F149" s="12">
        <v>7.3</v>
      </c>
      <c r="G149" s="13">
        <v>45255</v>
      </c>
      <c r="H149" s="13">
        <v>45320</v>
      </c>
      <c r="I149" s="13">
        <v>45429</v>
      </c>
      <c r="J149" s="13">
        <v>45472</v>
      </c>
      <c r="K149" s="14">
        <v>8870</v>
      </c>
      <c r="L149" s="11" t="s">
        <v>25</v>
      </c>
      <c r="M149" s="14">
        <v>414000</v>
      </c>
      <c r="N149" s="9" t="str">
        <f t="shared" si="18"/>
        <v>Medium scale</v>
      </c>
      <c r="O149" s="9" t="str">
        <f t="shared" si="19"/>
        <v>Delayed</v>
      </c>
      <c r="P149" s="9" t="str">
        <f t="shared" si="20"/>
        <v>Loan eligible</v>
      </c>
      <c r="Q149" s="9">
        <f t="shared" si="21"/>
        <v>152</v>
      </c>
      <c r="R149" s="9" t="str">
        <f t="shared" si="22"/>
        <v>NE</v>
      </c>
      <c r="S149" s="9" t="str">
        <f t="shared" si="23"/>
        <v>SOR</v>
      </c>
      <c r="T149" s="9" t="str">
        <f t="shared" si="24"/>
        <v>Yetunde Usman</v>
      </c>
      <c r="U149" t="str">
        <f t="shared" si="25"/>
        <v>June</v>
      </c>
    </row>
    <row r="150" spans="1:21" ht="14.25" customHeight="1" x14ac:dyDescent="0.25">
      <c r="A150" s="4">
        <v>149</v>
      </c>
      <c r="B150" s="5" t="s">
        <v>352</v>
      </c>
      <c r="C150" s="5" t="s">
        <v>353</v>
      </c>
      <c r="D150" s="5" t="s">
        <v>52</v>
      </c>
      <c r="E150" s="5" t="s">
        <v>49</v>
      </c>
      <c r="F150" s="6">
        <v>1</v>
      </c>
      <c r="G150" s="7">
        <v>45585</v>
      </c>
      <c r="H150" s="7">
        <v>45761</v>
      </c>
      <c r="I150" s="7">
        <v>46055</v>
      </c>
      <c r="J150" s="7">
        <v>46076</v>
      </c>
      <c r="K150" s="8">
        <v>11180</v>
      </c>
      <c r="L150" s="5" t="s">
        <v>25</v>
      </c>
      <c r="M150" s="8">
        <v>46000</v>
      </c>
      <c r="N150" s="9" t="str">
        <f t="shared" si="18"/>
        <v>Small holder</v>
      </c>
      <c r="O150" s="9" t="str">
        <f t="shared" si="19"/>
        <v>Delayed</v>
      </c>
      <c r="P150" s="9" t="str">
        <f t="shared" si="20"/>
        <v>Not eligible</v>
      </c>
      <c r="Q150" s="9">
        <f t="shared" si="21"/>
        <v>315</v>
      </c>
      <c r="R150" s="9" t="str">
        <f t="shared" si="22"/>
        <v>SE</v>
      </c>
      <c r="S150" s="9" t="str">
        <f t="shared" si="23"/>
        <v>CAS</v>
      </c>
      <c r="T150" s="9" t="str">
        <f t="shared" si="24"/>
        <v>Babajide Igwe</v>
      </c>
      <c r="U150" t="str">
        <f t="shared" si="25"/>
        <v>February</v>
      </c>
    </row>
    <row r="151" spans="1:21" ht="14.25" customHeight="1" x14ac:dyDescent="0.25">
      <c r="A151" s="10">
        <v>150</v>
      </c>
      <c r="B151" s="11" t="s">
        <v>354</v>
      </c>
      <c r="C151" s="11" t="s">
        <v>355</v>
      </c>
      <c r="D151" s="11" t="s">
        <v>52</v>
      </c>
      <c r="E151" s="11" t="s">
        <v>66</v>
      </c>
      <c r="F151" s="12">
        <v>8.4</v>
      </c>
      <c r="G151" s="13">
        <v>44986</v>
      </c>
      <c r="H151" s="13">
        <v>45134</v>
      </c>
      <c r="I151" s="13">
        <v>45232</v>
      </c>
      <c r="J151" s="13">
        <v>45268</v>
      </c>
      <c r="K151" s="14">
        <v>7700</v>
      </c>
      <c r="L151" s="11" t="s">
        <v>25</v>
      </c>
      <c r="M151" s="14">
        <v>419000</v>
      </c>
      <c r="N151" s="9" t="str">
        <f t="shared" si="18"/>
        <v>Medium scale</v>
      </c>
      <c r="O151" s="9" t="str">
        <f t="shared" si="19"/>
        <v>Delayed</v>
      </c>
      <c r="P151" s="9" t="str">
        <f t="shared" si="20"/>
        <v>Loan eligible</v>
      </c>
      <c r="Q151" s="9">
        <f t="shared" si="21"/>
        <v>134</v>
      </c>
      <c r="R151" s="9" t="str">
        <f t="shared" si="22"/>
        <v>SE</v>
      </c>
      <c r="S151" s="9" t="str">
        <f t="shared" si="23"/>
        <v>MIL</v>
      </c>
      <c r="T151" s="9" t="str">
        <f t="shared" si="24"/>
        <v>Ayodele Okonkwo</v>
      </c>
      <c r="U151" t="str">
        <f t="shared" si="25"/>
        <v>December</v>
      </c>
    </row>
    <row r="152" spans="1:21" ht="14.25" customHeight="1" x14ac:dyDescent="0.25">
      <c r="A152" s="4">
        <v>151</v>
      </c>
      <c r="B152" s="5" t="s">
        <v>356</v>
      </c>
      <c r="C152" s="5" t="s">
        <v>357</v>
      </c>
      <c r="D152" s="5" t="s">
        <v>33</v>
      </c>
      <c r="E152" s="5" t="s">
        <v>66</v>
      </c>
      <c r="F152" s="6">
        <v>3.5</v>
      </c>
      <c r="G152" s="7">
        <v>45201</v>
      </c>
      <c r="H152" s="7">
        <v>45302</v>
      </c>
      <c r="I152" s="7">
        <v>45388</v>
      </c>
      <c r="J152" s="7">
        <v>45401</v>
      </c>
      <c r="K152" s="8">
        <v>3730</v>
      </c>
      <c r="L152" s="5" t="s">
        <v>35</v>
      </c>
      <c r="M152" s="8">
        <v>163000</v>
      </c>
      <c r="N152" s="9" t="str">
        <f t="shared" si="18"/>
        <v>Medium scale</v>
      </c>
      <c r="O152" s="9" t="str">
        <f t="shared" si="19"/>
        <v>Delayed</v>
      </c>
      <c r="P152" s="9" t="str">
        <f t="shared" si="20"/>
        <v>Not eligible</v>
      </c>
      <c r="Q152" s="9">
        <f t="shared" si="21"/>
        <v>99</v>
      </c>
      <c r="R152" s="9" t="str">
        <f t="shared" si="22"/>
        <v>NW</v>
      </c>
      <c r="S152" s="9" t="str">
        <f t="shared" si="23"/>
        <v>MIL</v>
      </c>
      <c r="T152" s="9" t="str">
        <f t="shared" si="24"/>
        <v>Rasheed Nnamdi</v>
      </c>
      <c r="U152" t="str">
        <f t="shared" si="25"/>
        <v>April</v>
      </c>
    </row>
    <row r="153" spans="1:21" ht="14.25" customHeight="1" x14ac:dyDescent="0.25">
      <c r="A153" s="10">
        <v>152</v>
      </c>
      <c r="B153" s="11" t="s">
        <v>358</v>
      </c>
      <c r="C153" s="11" t="s">
        <v>359</v>
      </c>
      <c r="D153" s="11" t="s">
        <v>28</v>
      </c>
      <c r="E153" s="11" t="s">
        <v>34</v>
      </c>
      <c r="F153" s="12">
        <v>1.5</v>
      </c>
      <c r="G153" s="13">
        <v>45691</v>
      </c>
      <c r="H153" s="13">
        <v>45818</v>
      </c>
      <c r="I153" s="13">
        <v>46149</v>
      </c>
      <c r="J153" s="13">
        <v>46163</v>
      </c>
      <c r="K153" s="14">
        <v>700</v>
      </c>
      <c r="L153" s="11" t="s">
        <v>25</v>
      </c>
      <c r="M153" s="14">
        <v>73000</v>
      </c>
      <c r="N153" s="9" t="str">
        <f t="shared" si="18"/>
        <v>Small holder</v>
      </c>
      <c r="O153" s="9" t="str">
        <f t="shared" si="19"/>
        <v>Delayed</v>
      </c>
      <c r="P153" s="9" t="str">
        <f t="shared" si="20"/>
        <v>Not eligible</v>
      </c>
      <c r="Q153" s="9">
        <f t="shared" si="21"/>
        <v>345</v>
      </c>
      <c r="R153" s="9" t="str">
        <f t="shared" si="22"/>
        <v>NE</v>
      </c>
      <c r="S153" s="9" t="str">
        <f t="shared" si="23"/>
        <v>COC</v>
      </c>
      <c r="T153" s="9" t="str">
        <f t="shared" si="24"/>
        <v>Temitope Okafor</v>
      </c>
      <c r="U153" t="str">
        <f t="shared" si="25"/>
        <v>May</v>
      </c>
    </row>
    <row r="154" spans="1:21" ht="14.25" customHeight="1" x14ac:dyDescent="0.25">
      <c r="A154" s="4">
        <v>153</v>
      </c>
      <c r="B154" s="5" t="s">
        <v>360</v>
      </c>
      <c r="C154" s="5" t="s">
        <v>361</v>
      </c>
      <c r="D154" s="5" t="s">
        <v>61</v>
      </c>
      <c r="E154" s="5" t="s">
        <v>34</v>
      </c>
      <c r="F154" s="6">
        <v>5.7</v>
      </c>
      <c r="G154" s="7">
        <v>45749</v>
      </c>
      <c r="H154" s="7">
        <v>45874</v>
      </c>
      <c r="I154" s="7">
        <v>46214</v>
      </c>
      <c r="J154" s="7">
        <v>46238</v>
      </c>
      <c r="K154" s="8">
        <v>2530</v>
      </c>
      <c r="L154" s="5" t="s">
        <v>25</v>
      </c>
      <c r="M154" s="8">
        <v>355000</v>
      </c>
      <c r="N154" s="9" t="str">
        <f t="shared" si="18"/>
        <v>Medium scale</v>
      </c>
      <c r="O154" s="9" t="str">
        <f t="shared" si="19"/>
        <v>Delayed</v>
      </c>
      <c r="P154" s="9" t="str">
        <f t="shared" si="20"/>
        <v>Loan eligible</v>
      </c>
      <c r="Q154" s="9">
        <f t="shared" si="21"/>
        <v>364</v>
      </c>
      <c r="R154" s="9" t="str">
        <f t="shared" si="22"/>
        <v>SW</v>
      </c>
      <c r="S154" s="9" t="str">
        <f t="shared" si="23"/>
        <v>COC</v>
      </c>
      <c r="T154" s="9" t="str">
        <f t="shared" si="24"/>
        <v>Temitope Ogundele</v>
      </c>
      <c r="U154" t="str">
        <f t="shared" si="25"/>
        <v>August</v>
      </c>
    </row>
    <row r="155" spans="1:21" ht="14.25" customHeight="1" x14ac:dyDescent="0.25">
      <c r="A155" s="10">
        <v>154</v>
      </c>
      <c r="B155" s="11" t="s">
        <v>362</v>
      </c>
      <c r="C155" s="11" t="s">
        <v>363</v>
      </c>
      <c r="D155" s="11" t="s">
        <v>33</v>
      </c>
      <c r="E155" s="11" t="s">
        <v>53</v>
      </c>
      <c r="F155" s="12">
        <v>0.7</v>
      </c>
      <c r="G155" s="13">
        <v>45264</v>
      </c>
      <c r="H155" s="13">
        <v>45327</v>
      </c>
      <c r="I155" s="13">
        <v>45439</v>
      </c>
      <c r="J155" s="13">
        <v>45455</v>
      </c>
      <c r="K155" s="14">
        <v>840</v>
      </c>
      <c r="L155" s="11" t="s">
        <v>35</v>
      </c>
      <c r="M155" s="14">
        <v>33000</v>
      </c>
      <c r="N155" s="9" t="str">
        <f t="shared" si="18"/>
        <v>Small holder</v>
      </c>
      <c r="O155" s="9" t="str">
        <f t="shared" si="19"/>
        <v>Delayed</v>
      </c>
      <c r="P155" s="9" t="str">
        <f t="shared" si="20"/>
        <v>Not eligible</v>
      </c>
      <c r="Q155" s="9">
        <f t="shared" si="21"/>
        <v>128</v>
      </c>
      <c r="R155" s="9" t="str">
        <f t="shared" si="22"/>
        <v>NW</v>
      </c>
      <c r="S155" s="9" t="str">
        <f t="shared" si="23"/>
        <v>SOR</v>
      </c>
      <c r="T155" s="9" t="str">
        <f t="shared" si="24"/>
        <v>Chukwudi Tanko</v>
      </c>
      <c r="U155" t="str">
        <f t="shared" si="25"/>
        <v>June</v>
      </c>
    </row>
    <row r="156" spans="1:21" ht="14.25" customHeight="1" x14ac:dyDescent="0.25">
      <c r="A156" s="4">
        <v>155</v>
      </c>
      <c r="B156" s="5" t="s">
        <v>364</v>
      </c>
      <c r="C156" s="5" t="s">
        <v>365</v>
      </c>
      <c r="D156" s="5" t="s">
        <v>61</v>
      </c>
      <c r="E156" s="5" t="s">
        <v>66</v>
      </c>
      <c r="F156" s="6">
        <v>0.7</v>
      </c>
      <c r="G156" s="7">
        <v>45486</v>
      </c>
      <c r="H156" s="7">
        <v>45616</v>
      </c>
      <c r="I156" s="7">
        <v>45706</v>
      </c>
      <c r="J156" s="7">
        <v>45741</v>
      </c>
      <c r="K156" s="8">
        <v>820</v>
      </c>
      <c r="L156" s="5" t="s">
        <v>30</v>
      </c>
      <c r="M156" s="8">
        <v>46000</v>
      </c>
      <c r="N156" s="9" t="str">
        <f t="shared" si="18"/>
        <v>Small holder</v>
      </c>
      <c r="O156" s="9" t="str">
        <f t="shared" si="19"/>
        <v>Delayed</v>
      </c>
      <c r="P156" s="9" t="str">
        <f t="shared" si="20"/>
        <v>Not eligible</v>
      </c>
      <c r="Q156" s="9">
        <f t="shared" si="21"/>
        <v>125</v>
      </c>
      <c r="R156" s="9" t="str">
        <f t="shared" si="22"/>
        <v>SW</v>
      </c>
      <c r="S156" s="9" t="str">
        <f t="shared" si="23"/>
        <v>MIL</v>
      </c>
      <c r="T156" s="9" t="str">
        <f t="shared" si="24"/>
        <v>Suleiman Adamu</v>
      </c>
      <c r="U156" t="str">
        <f t="shared" si="25"/>
        <v>March</v>
      </c>
    </row>
    <row r="157" spans="1:21" ht="14.25" customHeight="1" x14ac:dyDescent="0.25">
      <c r="A157" s="10">
        <v>156</v>
      </c>
      <c r="B157" s="11" t="s">
        <v>366</v>
      </c>
      <c r="C157" s="11" t="s">
        <v>367</v>
      </c>
      <c r="D157" s="11" t="s">
        <v>33</v>
      </c>
      <c r="E157" s="11" t="s">
        <v>58</v>
      </c>
      <c r="F157" s="12">
        <v>3.8</v>
      </c>
      <c r="G157" s="13">
        <v>45651</v>
      </c>
      <c r="H157" s="13">
        <v>45694</v>
      </c>
      <c r="I157" s="13">
        <v>45784</v>
      </c>
      <c r="J157" s="13">
        <v>45777</v>
      </c>
      <c r="K157" s="14">
        <v>8780</v>
      </c>
      <c r="L157" s="11" t="s">
        <v>35</v>
      </c>
      <c r="M157" s="14">
        <v>222000</v>
      </c>
      <c r="N157" s="9" t="str">
        <f t="shared" si="18"/>
        <v>Medium scale</v>
      </c>
      <c r="O157" s="9" t="str">
        <f t="shared" si="19"/>
        <v>On Schedule</v>
      </c>
      <c r="P157" s="9" t="str">
        <f t="shared" si="20"/>
        <v>Not eligible</v>
      </c>
      <c r="Q157" s="9">
        <f t="shared" si="21"/>
        <v>83</v>
      </c>
      <c r="R157" s="9" t="str">
        <f t="shared" si="22"/>
        <v>NW</v>
      </c>
      <c r="S157" s="9" t="str">
        <f t="shared" si="23"/>
        <v>MAZ</v>
      </c>
      <c r="T157" s="9" t="str">
        <f t="shared" si="24"/>
        <v>Victory Okafor</v>
      </c>
      <c r="U157" t="str">
        <f t="shared" si="25"/>
        <v>April</v>
      </c>
    </row>
    <row r="158" spans="1:21" ht="14.25" customHeight="1" x14ac:dyDescent="0.25">
      <c r="A158" s="4">
        <v>157</v>
      </c>
      <c r="B158" s="5" t="s">
        <v>368</v>
      </c>
      <c r="C158" s="5" t="s">
        <v>369</v>
      </c>
      <c r="D158" s="5" t="s">
        <v>61</v>
      </c>
      <c r="E158" s="5" t="s">
        <v>66</v>
      </c>
      <c r="F158" s="6">
        <v>0.5</v>
      </c>
      <c r="G158" s="7">
        <v>45666</v>
      </c>
      <c r="H158" s="7">
        <v>45741</v>
      </c>
      <c r="I158" s="7">
        <v>45835</v>
      </c>
      <c r="J158" s="7">
        <v>45825</v>
      </c>
      <c r="K158" s="8">
        <v>430</v>
      </c>
      <c r="L158" s="5" t="s">
        <v>30</v>
      </c>
      <c r="M158" s="8">
        <v>0</v>
      </c>
      <c r="N158" s="9" t="str">
        <f t="shared" si="18"/>
        <v>Small holder</v>
      </c>
      <c r="O158" s="9" t="str">
        <f t="shared" si="19"/>
        <v>On Schedule</v>
      </c>
      <c r="P158" s="9" t="str">
        <f t="shared" si="20"/>
        <v>Not eligible</v>
      </c>
      <c r="Q158" s="9">
        <f t="shared" si="21"/>
        <v>84</v>
      </c>
      <c r="R158" s="9" t="str">
        <f t="shared" si="22"/>
        <v>SW</v>
      </c>
      <c r="S158" s="9" t="str">
        <f t="shared" si="23"/>
        <v>MIL</v>
      </c>
      <c r="T158" s="9" t="str">
        <f t="shared" si="24"/>
        <v>Chinedu Okafor</v>
      </c>
      <c r="U158" t="str">
        <f t="shared" si="25"/>
        <v>June</v>
      </c>
    </row>
    <row r="159" spans="1:21" ht="14.25" customHeight="1" x14ac:dyDescent="0.25">
      <c r="A159" s="10">
        <v>158</v>
      </c>
      <c r="B159" s="11" t="s">
        <v>370</v>
      </c>
      <c r="C159" s="11" t="s">
        <v>371</v>
      </c>
      <c r="D159" s="11" t="s">
        <v>33</v>
      </c>
      <c r="E159" s="11" t="s">
        <v>49</v>
      </c>
      <c r="F159" s="12">
        <v>1</v>
      </c>
      <c r="G159" s="13">
        <v>45741</v>
      </c>
      <c r="H159" s="13">
        <v>45847</v>
      </c>
      <c r="I159" s="13">
        <v>46122</v>
      </c>
      <c r="J159" s="13">
        <v>46116</v>
      </c>
      <c r="K159" s="14">
        <v>9750</v>
      </c>
      <c r="L159" s="11" t="s">
        <v>25</v>
      </c>
      <c r="M159" s="14">
        <v>49000</v>
      </c>
      <c r="N159" s="9" t="str">
        <f t="shared" si="18"/>
        <v>Small holder</v>
      </c>
      <c r="O159" s="9" t="str">
        <f t="shared" si="19"/>
        <v>On Schedule</v>
      </c>
      <c r="P159" s="9" t="str">
        <f t="shared" si="20"/>
        <v>Not eligible</v>
      </c>
      <c r="Q159" s="9">
        <f t="shared" si="21"/>
        <v>269</v>
      </c>
      <c r="R159" s="9" t="str">
        <f t="shared" si="22"/>
        <v>NW</v>
      </c>
      <c r="S159" s="9" t="str">
        <f t="shared" si="23"/>
        <v>CAS</v>
      </c>
      <c r="T159" s="9" t="str">
        <f t="shared" si="24"/>
        <v>Ayodele Abubakar</v>
      </c>
      <c r="U159" t="str">
        <f t="shared" si="25"/>
        <v>April</v>
      </c>
    </row>
    <row r="160" spans="1:21" ht="14.25" customHeight="1" x14ac:dyDescent="0.25">
      <c r="A160" s="4">
        <v>159</v>
      </c>
      <c r="B160" s="5" t="s">
        <v>372</v>
      </c>
      <c r="C160" s="5" t="s">
        <v>373</v>
      </c>
      <c r="D160" s="5" t="s">
        <v>33</v>
      </c>
      <c r="E160" s="5" t="s">
        <v>58</v>
      </c>
      <c r="F160" s="6">
        <v>2.4</v>
      </c>
      <c r="G160" s="7">
        <v>44936</v>
      </c>
      <c r="H160" s="7">
        <v>44984</v>
      </c>
      <c r="I160" s="7">
        <v>45076</v>
      </c>
      <c r="J160" s="7">
        <v>45104</v>
      </c>
      <c r="K160" s="8">
        <v>6520</v>
      </c>
      <c r="L160" s="5" t="s">
        <v>25</v>
      </c>
      <c r="M160" s="8">
        <v>166000</v>
      </c>
      <c r="N160" s="9" t="str">
        <f t="shared" si="18"/>
        <v>Medium scale</v>
      </c>
      <c r="O160" s="9" t="str">
        <f t="shared" si="19"/>
        <v>Delayed</v>
      </c>
      <c r="P160" s="9" t="str">
        <f t="shared" si="20"/>
        <v>Loan eligible</v>
      </c>
      <c r="Q160" s="9">
        <f t="shared" si="21"/>
        <v>120</v>
      </c>
      <c r="R160" s="9" t="str">
        <f t="shared" si="22"/>
        <v>NW</v>
      </c>
      <c r="S160" s="9" t="str">
        <f t="shared" si="23"/>
        <v>MAZ</v>
      </c>
      <c r="T160" s="9" t="str">
        <f t="shared" si="24"/>
        <v>Obinna Onyeka</v>
      </c>
      <c r="U160" t="str">
        <f t="shared" si="25"/>
        <v>June</v>
      </c>
    </row>
    <row r="161" spans="1:21" ht="14.25" customHeight="1" x14ac:dyDescent="0.25">
      <c r="A161" s="10">
        <v>160</v>
      </c>
      <c r="B161" s="11" t="s">
        <v>374</v>
      </c>
      <c r="C161" s="11" t="s">
        <v>375</v>
      </c>
      <c r="D161" s="11" t="s">
        <v>52</v>
      </c>
      <c r="E161" s="11" t="s">
        <v>58</v>
      </c>
      <c r="F161" s="12">
        <v>6.5</v>
      </c>
      <c r="G161" s="13">
        <v>45204</v>
      </c>
      <c r="H161" s="13">
        <v>45220</v>
      </c>
      <c r="I161" s="13">
        <v>45339</v>
      </c>
      <c r="J161" s="13">
        <v>45335</v>
      </c>
      <c r="K161" s="14">
        <v>20140</v>
      </c>
      <c r="L161" s="11" t="s">
        <v>35</v>
      </c>
      <c r="M161" s="14">
        <v>0</v>
      </c>
      <c r="N161" s="9" t="str">
        <f t="shared" si="18"/>
        <v>Medium scale</v>
      </c>
      <c r="O161" s="9" t="str">
        <f t="shared" si="19"/>
        <v>On Schedule</v>
      </c>
      <c r="P161" s="9" t="str">
        <f t="shared" si="20"/>
        <v>Not eligible</v>
      </c>
      <c r="Q161" s="9">
        <f t="shared" si="21"/>
        <v>115</v>
      </c>
      <c r="R161" s="9" t="str">
        <f t="shared" si="22"/>
        <v>SE</v>
      </c>
      <c r="S161" s="9" t="str">
        <f t="shared" si="23"/>
        <v>MAZ</v>
      </c>
      <c r="T161" s="9" t="str">
        <f t="shared" si="24"/>
        <v>Yetunde Danladi</v>
      </c>
      <c r="U161" t="str">
        <f t="shared" si="25"/>
        <v>February</v>
      </c>
    </row>
    <row r="162" spans="1:21" ht="14.25" customHeight="1" x14ac:dyDescent="0.25">
      <c r="A162" s="4">
        <v>161</v>
      </c>
      <c r="B162" s="5" t="s">
        <v>376</v>
      </c>
      <c r="C162" s="5" t="s">
        <v>377</v>
      </c>
      <c r="D162" s="5" t="s">
        <v>76</v>
      </c>
      <c r="E162" s="5" t="s">
        <v>58</v>
      </c>
      <c r="F162" s="6">
        <v>8.5</v>
      </c>
      <c r="G162" s="7">
        <v>45005</v>
      </c>
      <c r="H162" s="7">
        <v>45086</v>
      </c>
      <c r="I162" s="7">
        <v>45181</v>
      </c>
      <c r="J162" s="7">
        <v>45218</v>
      </c>
      <c r="K162" s="8">
        <v>25520</v>
      </c>
      <c r="L162" s="5" t="s">
        <v>25</v>
      </c>
      <c r="M162" s="8">
        <v>425000</v>
      </c>
      <c r="N162" s="9" t="str">
        <f t="shared" si="18"/>
        <v>Medium scale</v>
      </c>
      <c r="O162" s="9" t="str">
        <f t="shared" si="19"/>
        <v>Delayed</v>
      </c>
      <c r="P162" s="9" t="str">
        <f t="shared" si="20"/>
        <v>Loan eligible</v>
      </c>
      <c r="Q162" s="9">
        <f t="shared" si="21"/>
        <v>132</v>
      </c>
      <c r="R162" s="9" t="str">
        <f t="shared" si="22"/>
        <v>NC</v>
      </c>
      <c r="S162" s="9" t="str">
        <f t="shared" si="23"/>
        <v>MAZ</v>
      </c>
      <c r="T162" s="9" t="str">
        <f t="shared" si="24"/>
        <v>Segun Tanko</v>
      </c>
      <c r="U162" t="str">
        <f t="shared" si="25"/>
        <v>October</v>
      </c>
    </row>
    <row r="163" spans="1:21" ht="14.25" customHeight="1" x14ac:dyDescent="0.25">
      <c r="A163" s="10">
        <v>162</v>
      </c>
      <c r="B163" s="11" t="s">
        <v>378</v>
      </c>
      <c r="C163" s="11" t="s">
        <v>379</v>
      </c>
      <c r="D163" s="11" t="s">
        <v>23</v>
      </c>
      <c r="E163" s="11" t="s">
        <v>49</v>
      </c>
      <c r="F163" s="12">
        <v>10.8</v>
      </c>
      <c r="G163" s="13">
        <v>45374</v>
      </c>
      <c r="H163" s="13">
        <v>45438</v>
      </c>
      <c r="I163" s="13">
        <v>45761</v>
      </c>
      <c r="J163" s="13">
        <v>45752</v>
      </c>
      <c r="K163" s="14">
        <v>125430</v>
      </c>
      <c r="L163" s="11" t="s">
        <v>30</v>
      </c>
      <c r="M163" s="14">
        <v>683000</v>
      </c>
      <c r="N163" s="9" t="str">
        <f t="shared" si="18"/>
        <v>Commercial</v>
      </c>
      <c r="O163" s="9" t="str">
        <f t="shared" si="19"/>
        <v>On Schedule</v>
      </c>
      <c r="P163" s="9" t="str">
        <f t="shared" si="20"/>
        <v>Not eligible</v>
      </c>
      <c r="Q163" s="9">
        <f t="shared" si="21"/>
        <v>314</v>
      </c>
      <c r="R163" s="9" t="str">
        <f t="shared" si="22"/>
        <v>SS</v>
      </c>
      <c r="S163" s="9" t="str">
        <f t="shared" si="23"/>
        <v>CAS</v>
      </c>
      <c r="T163" s="9" t="str">
        <f t="shared" si="24"/>
        <v>Peter Yakubu</v>
      </c>
      <c r="U163" t="str">
        <f t="shared" si="25"/>
        <v>April</v>
      </c>
    </row>
    <row r="164" spans="1:21" ht="14.25" customHeight="1" x14ac:dyDescent="0.25">
      <c r="A164" s="4">
        <v>163</v>
      </c>
      <c r="B164" s="5" t="s">
        <v>380</v>
      </c>
      <c r="C164" s="5" t="s">
        <v>381</v>
      </c>
      <c r="D164" s="5" t="s">
        <v>33</v>
      </c>
      <c r="E164" s="5" t="s">
        <v>53</v>
      </c>
      <c r="F164" s="6">
        <v>1.8</v>
      </c>
      <c r="G164" s="7">
        <v>45369</v>
      </c>
      <c r="H164" s="7">
        <v>45421</v>
      </c>
      <c r="I164" s="7">
        <v>45542</v>
      </c>
      <c r="J164" s="7">
        <v>45567</v>
      </c>
      <c r="K164" s="8">
        <v>1620</v>
      </c>
      <c r="L164" s="5" t="s">
        <v>35</v>
      </c>
      <c r="M164" s="8">
        <v>111000</v>
      </c>
      <c r="N164" s="9" t="str">
        <f t="shared" si="18"/>
        <v>Small holder</v>
      </c>
      <c r="O164" s="9" t="str">
        <f t="shared" si="19"/>
        <v>Delayed</v>
      </c>
      <c r="P164" s="9" t="str">
        <f t="shared" si="20"/>
        <v>Not eligible</v>
      </c>
      <c r="Q164" s="9">
        <f t="shared" si="21"/>
        <v>146</v>
      </c>
      <c r="R164" s="9" t="str">
        <f t="shared" si="22"/>
        <v>NW</v>
      </c>
      <c r="S164" s="9" t="str">
        <f t="shared" si="23"/>
        <v>SOR</v>
      </c>
      <c r="T164" s="9" t="str">
        <f t="shared" si="24"/>
        <v>Peter Obi</v>
      </c>
      <c r="U164" t="str">
        <f t="shared" si="25"/>
        <v>October</v>
      </c>
    </row>
    <row r="165" spans="1:21" ht="14.25" customHeight="1" x14ac:dyDescent="0.25">
      <c r="A165" s="10">
        <v>164</v>
      </c>
      <c r="B165" s="11" t="s">
        <v>382</v>
      </c>
      <c r="C165" s="11" t="s">
        <v>383</v>
      </c>
      <c r="D165" s="11" t="s">
        <v>33</v>
      </c>
      <c r="E165" s="11" t="s">
        <v>53</v>
      </c>
      <c r="F165" s="12">
        <v>7.8</v>
      </c>
      <c r="G165" s="13">
        <v>45251</v>
      </c>
      <c r="H165" s="13">
        <v>45348</v>
      </c>
      <c r="I165" s="13">
        <v>45451</v>
      </c>
      <c r="J165" s="13">
        <v>45447</v>
      </c>
      <c r="K165" s="14">
        <v>9050</v>
      </c>
      <c r="L165" s="11" t="s">
        <v>35</v>
      </c>
      <c r="M165" s="14">
        <v>0</v>
      </c>
      <c r="N165" s="9" t="str">
        <f t="shared" si="18"/>
        <v>Medium scale</v>
      </c>
      <c r="O165" s="9" t="str">
        <f t="shared" si="19"/>
        <v>On Schedule</v>
      </c>
      <c r="P165" s="9" t="str">
        <f t="shared" si="20"/>
        <v>Not eligible</v>
      </c>
      <c r="Q165" s="9">
        <f t="shared" si="21"/>
        <v>99</v>
      </c>
      <c r="R165" s="9" t="str">
        <f t="shared" si="22"/>
        <v>NW</v>
      </c>
      <c r="S165" s="9" t="str">
        <f t="shared" si="23"/>
        <v>SOR</v>
      </c>
      <c r="T165" s="9" t="str">
        <f t="shared" si="24"/>
        <v>Uche Anyanwu</v>
      </c>
      <c r="U165" t="str">
        <f t="shared" si="25"/>
        <v>June</v>
      </c>
    </row>
    <row r="166" spans="1:21" ht="14.25" customHeight="1" x14ac:dyDescent="0.25">
      <c r="A166" s="4">
        <v>165</v>
      </c>
      <c r="B166" s="5" t="s">
        <v>384</v>
      </c>
      <c r="C166" s="5" t="s">
        <v>385</v>
      </c>
      <c r="D166" s="5" t="s">
        <v>33</v>
      </c>
      <c r="E166" s="5" t="s">
        <v>49</v>
      </c>
      <c r="F166" s="6">
        <v>0.6</v>
      </c>
      <c r="G166" s="7">
        <v>45018</v>
      </c>
      <c r="H166" s="7">
        <v>45113</v>
      </c>
      <c r="I166" s="7">
        <v>45418</v>
      </c>
      <c r="J166" s="7">
        <v>45409</v>
      </c>
      <c r="K166" s="8">
        <v>7020</v>
      </c>
      <c r="L166" s="5" t="s">
        <v>30</v>
      </c>
      <c r="M166" s="8">
        <v>0</v>
      </c>
      <c r="N166" s="9" t="str">
        <f t="shared" si="18"/>
        <v>Small holder</v>
      </c>
      <c r="O166" s="9" t="str">
        <f t="shared" si="19"/>
        <v>On Schedule</v>
      </c>
      <c r="P166" s="9" t="str">
        <f t="shared" si="20"/>
        <v>Not eligible</v>
      </c>
      <c r="Q166" s="9">
        <f t="shared" si="21"/>
        <v>296</v>
      </c>
      <c r="R166" s="9" t="str">
        <f t="shared" si="22"/>
        <v>NW</v>
      </c>
      <c r="S166" s="9" t="str">
        <f t="shared" si="23"/>
        <v>CAS</v>
      </c>
      <c r="T166" s="9" t="str">
        <f t="shared" si="24"/>
        <v>Zainab Obi</v>
      </c>
      <c r="U166" t="str">
        <f t="shared" si="25"/>
        <v>April</v>
      </c>
    </row>
    <row r="167" spans="1:21" ht="14.25" customHeight="1" x14ac:dyDescent="0.25">
      <c r="A167" s="10">
        <v>166</v>
      </c>
      <c r="B167" s="11" t="s">
        <v>386</v>
      </c>
      <c r="C167" s="11" t="s">
        <v>387</v>
      </c>
      <c r="D167" s="11" t="s">
        <v>61</v>
      </c>
      <c r="E167" s="11" t="s">
        <v>29</v>
      </c>
      <c r="F167" s="12">
        <v>9.8000000000000007</v>
      </c>
      <c r="G167" s="13">
        <v>45175</v>
      </c>
      <c r="H167" s="13">
        <v>45326</v>
      </c>
      <c r="I167" s="13">
        <v>45432</v>
      </c>
      <c r="J167" s="13">
        <v>45426</v>
      </c>
      <c r="K167" s="14">
        <v>7860</v>
      </c>
      <c r="L167" s="11" t="s">
        <v>25</v>
      </c>
      <c r="M167" s="14">
        <v>435000</v>
      </c>
      <c r="N167" s="9" t="str">
        <f t="shared" si="18"/>
        <v>Medium scale</v>
      </c>
      <c r="O167" s="9" t="str">
        <f t="shared" si="19"/>
        <v>On Schedule</v>
      </c>
      <c r="P167" s="9" t="str">
        <f t="shared" si="20"/>
        <v>Loan eligible</v>
      </c>
      <c r="Q167" s="9">
        <f t="shared" si="21"/>
        <v>100</v>
      </c>
      <c r="R167" s="9" t="str">
        <f t="shared" si="22"/>
        <v>SW</v>
      </c>
      <c r="S167" s="9" t="str">
        <f t="shared" si="23"/>
        <v>GRN</v>
      </c>
      <c r="T167" s="9" t="str">
        <f t="shared" si="24"/>
        <v>Emmanuel Yakubu</v>
      </c>
      <c r="U167" t="str">
        <f t="shared" si="25"/>
        <v>May</v>
      </c>
    </row>
    <row r="168" spans="1:21" ht="14.25" customHeight="1" x14ac:dyDescent="0.25">
      <c r="A168" s="4">
        <v>167</v>
      </c>
      <c r="B168" s="5" t="s">
        <v>388</v>
      </c>
      <c r="C168" s="5" t="s">
        <v>389</v>
      </c>
      <c r="D168" s="5" t="s">
        <v>28</v>
      </c>
      <c r="E168" s="5" t="s">
        <v>29</v>
      </c>
      <c r="F168" s="6">
        <v>4.9000000000000004</v>
      </c>
      <c r="G168" s="7">
        <v>45179</v>
      </c>
      <c r="H168" s="7">
        <v>45344</v>
      </c>
      <c r="I168" s="7">
        <v>45449</v>
      </c>
      <c r="J168" s="7">
        <v>45462</v>
      </c>
      <c r="K168" s="8">
        <v>4780</v>
      </c>
      <c r="L168" s="5" t="s">
        <v>25</v>
      </c>
      <c r="M168" s="8">
        <v>0</v>
      </c>
      <c r="N168" s="9" t="str">
        <f t="shared" si="18"/>
        <v>Medium scale</v>
      </c>
      <c r="O168" s="9" t="str">
        <f t="shared" si="19"/>
        <v>Delayed</v>
      </c>
      <c r="P168" s="9" t="str">
        <f t="shared" si="20"/>
        <v>Loan eligible</v>
      </c>
      <c r="Q168" s="9">
        <f t="shared" si="21"/>
        <v>118</v>
      </c>
      <c r="R168" s="9" t="str">
        <f t="shared" si="22"/>
        <v>NE</v>
      </c>
      <c r="S168" s="9" t="str">
        <f t="shared" si="23"/>
        <v>GRN</v>
      </c>
      <c r="T168" s="9" t="str">
        <f t="shared" si="24"/>
        <v>Kunle Uzoma</v>
      </c>
      <c r="U168" t="str">
        <f t="shared" si="25"/>
        <v>June</v>
      </c>
    </row>
    <row r="169" spans="1:21" ht="14.25" customHeight="1" x14ac:dyDescent="0.25">
      <c r="A169" s="10">
        <v>168</v>
      </c>
      <c r="B169" s="11" t="s">
        <v>390</v>
      </c>
      <c r="C169" s="11" t="s">
        <v>391</v>
      </c>
      <c r="D169" s="11" t="s">
        <v>61</v>
      </c>
      <c r="E169" s="11" t="s">
        <v>34</v>
      </c>
      <c r="F169" s="12">
        <v>5.5</v>
      </c>
      <c r="G169" s="13">
        <v>45367</v>
      </c>
      <c r="H169" s="13">
        <v>45538</v>
      </c>
      <c r="I169" s="13">
        <v>45855</v>
      </c>
      <c r="J169" s="13">
        <v>45846</v>
      </c>
      <c r="K169" s="14">
        <v>3490</v>
      </c>
      <c r="L169" s="11" t="s">
        <v>25</v>
      </c>
      <c r="M169" s="14">
        <v>379000</v>
      </c>
      <c r="N169" s="9" t="str">
        <f t="shared" si="18"/>
        <v>Medium scale</v>
      </c>
      <c r="O169" s="9" t="str">
        <f t="shared" si="19"/>
        <v>On Schedule</v>
      </c>
      <c r="P169" s="9" t="str">
        <f t="shared" si="20"/>
        <v>Loan eligible</v>
      </c>
      <c r="Q169" s="9">
        <f t="shared" si="21"/>
        <v>308</v>
      </c>
      <c r="R169" s="9" t="str">
        <f t="shared" si="22"/>
        <v>SW</v>
      </c>
      <c r="S169" s="9" t="str">
        <f t="shared" si="23"/>
        <v>COC</v>
      </c>
      <c r="T169" s="9" t="str">
        <f t="shared" si="24"/>
        <v>Esther Okeke</v>
      </c>
      <c r="U169" t="str">
        <f t="shared" si="25"/>
        <v>July</v>
      </c>
    </row>
    <row r="170" spans="1:21" ht="14.25" customHeight="1" x14ac:dyDescent="0.25">
      <c r="A170" s="4">
        <v>169</v>
      </c>
      <c r="B170" s="5" t="s">
        <v>392</v>
      </c>
      <c r="C170" s="5" t="s">
        <v>393</v>
      </c>
      <c r="D170" s="5" t="s">
        <v>76</v>
      </c>
      <c r="E170" s="5" t="s">
        <v>53</v>
      </c>
      <c r="F170" s="6">
        <v>4.5999999999999996</v>
      </c>
      <c r="G170" s="7">
        <v>45214</v>
      </c>
      <c r="H170" s="7">
        <v>45319</v>
      </c>
      <c r="I170" s="7">
        <v>45430</v>
      </c>
      <c r="J170" s="7">
        <v>45421</v>
      </c>
      <c r="K170" s="8">
        <v>4530</v>
      </c>
      <c r="L170" s="5" t="s">
        <v>30</v>
      </c>
      <c r="M170" s="8">
        <v>0</v>
      </c>
      <c r="N170" s="9" t="str">
        <f t="shared" si="18"/>
        <v>Medium scale</v>
      </c>
      <c r="O170" s="9" t="str">
        <f t="shared" si="19"/>
        <v>On Schedule</v>
      </c>
      <c r="P170" s="9" t="str">
        <f t="shared" si="20"/>
        <v>Not eligible</v>
      </c>
      <c r="Q170" s="9">
        <f t="shared" si="21"/>
        <v>102</v>
      </c>
      <c r="R170" s="9" t="str">
        <f t="shared" si="22"/>
        <v>NC</v>
      </c>
      <c r="S170" s="9" t="str">
        <f t="shared" si="23"/>
        <v>SOR</v>
      </c>
      <c r="T170" s="9" t="str">
        <f t="shared" si="24"/>
        <v>Precious Nwachukwu</v>
      </c>
      <c r="U170" t="str">
        <f t="shared" si="25"/>
        <v>May</v>
      </c>
    </row>
    <row r="171" spans="1:21" ht="14.25" customHeight="1" x14ac:dyDescent="0.25">
      <c r="A171" s="10">
        <v>170</v>
      </c>
      <c r="B171" s="11" t="s">
        <v>394</v>
      </c>
      <c r="C171" s="11" t="s">
        <v>395</v>
      </c>
      <c r="D171" s="11" t="s">
        <v>52</v>
      </c>
      <c r="E171" s="11" t="s">
        <v>58</v>
      </c>
      <c r="F171" s="12">
        <v>1.6</v>
      </c>
      <c r="G171" s="13">
        <v>45778</v>
      </c>
      <c r="H171" s="13">
        <v>45800</v>
      </c>
      <c r="I171" s="13">
        <v>45916</v>
      </c>
      <c r="J171" s="13">
        <v>45943</v>
      </c>
      <c r="K171" s="14">
        <v>4420</v>
      </c>
      <c r="L171" s="11" t="s">
        <v>25</v>
      </c>
      <c r="M171" s="14">
        <v>76000</v>
      </c>
      <c r="N171" s="9" t="str">
        <f t="shared" si="18"/>
        <v>Small holder</v>
      </c>
      <c r="O171" s="9" t="str">
        <f t="shared" si="19"/>
        <v>Delayed</v>
      </c>
      <c r="P171" s="9" t="str">
        <f t="shared" si="20"/>
        <v>Not eligible</v>
      </c>
      <c r="Q171" s="9">
        <f t="shared" si="21"/>
        <v>143</v>
      </c>
      <c r="R171" s="9" t="str">
        <f t="shared" si="22"/>
        <v>SE</v>
      </c>
      <c r="S171" s="9" t="str">
        <f t="shared" si="23"/>
        <v>MAZ</v>
      </c>
      <c r="T171" s="9" t="str">
        <f t="shared" si="24"/>
        <v>Grace Ayuba</v>
      </c>
      <c r="U171" t="str">
        <f t="shared" si="25"/>
        <v>October</v>
      </c>
    </row>
    <row r="172" spans="1:21" ht="14.25" customHeight="1" x14ac:dyDescent="0.25">
      <c r="A172" s="4">
        <v>171</v>
      </c>
      <c r="B172" s="5" t="s">
        <v>396</v>
      </c>
      <c r="C172" s="5" t="s">
        <v>397</v>
      </c>
      <c r="D172" s="5" t="s">
        <v>28</v>
      </c>
      <c r="E172" s="5" t="s">
        <v>29</v>
      </c>
      <c r="F172" s="6">
        <v>17.2</v>
      </c>
      <c r="G172" s="7">
        <v>45337</v>
      </c>
      <c r="H172" s="7">
        <v>45478</v>
      </c>
      <c r="I172" s="7">
        <v>45584</v>
      </c>
      <c r="J172" s="7">
        <v>45629</v>
      </c>
      <c r="K172" s="8">
        <v>16360</v>
      </c>
      <c r="L172" s="5" t="s">
        <v>25</v>
      </c>
      <c r="M172" s="8">
        <v>1050000</v>
      </c>
      <c r="N172" s="9" t="str">
        <f t="shared" si="18"/>
        <v>Commercial</v>
      </c>
      <c r="O172" s="9" t="str">
        <f t="shared" si="19"/>
        <v>Delayed</v>
      </c>
      <c r="P172" s="9" t="str">
        <f t="shared" si="20"/>
        <v>Loan eligible</v>
      </c>
      <c r="Q172" s="9">
        <f t="shared" si="21"/>
        <v>151</v>
      </c>
      <c r="R172" s="9" t="str">
        <f t="shared" si="22"/>
        <v>NE</v>
      </c>
      <c r="S172" s="9" t="str">
        <f t="shared" si="23"/>
        <v>GRN</v>
      </c>
      <c r="T172" s="9" t="str">
        <f t="shared" si="24"/>
        <v>Peter Anyanwu</v>
      </c>
      <c r="U172" t="str">
        <f t="shared" si="25"/>
        <v>December</v>
      </c>
    </row>
    <row r="173" spans="1:21" ht="14.25" customHeight="1" x14ac:dyDescent="0.25">
      <c r="A173" s="10">
        <v>172</v>
      </c>
      <c r="B173" s="11" t="s">
        <v>398</v>
      </c>
      <c r="C173" s="11" t="s">
        <v>399</v>
      </c>
      <c r="D173" s="11" t="s">
        <v>52</v>
      </c>
      <c r="E173" s="11" t="s">
        <v>24</v>
      </c>
      <c r="F173" s="12">
        <v>1.4</v>
      </c>
      <c r="G173" s="13">
        <v>44972</v>
      </c>
      <c r="H173" s="13">
        <v>45121</v>
      </c>
      <c r="I173" s="13">
        <v>45261</v>
      </c>
      <c r="J173" s="13">
        <v>45287</v>
      </c>
      <c r="K173" s="14">
        <v>5380</v>
      </c>
      <c r="L173" s="11" t="s">
        <v>25</v>
      </c>
      <c r="M173" s="14">
        <v>60000</v>
      </c>
      <c r="N173" s="9" t="str">
        <f t="shared" si="18"/>
        <v>Small holder</v>
      </c>
      <c r="O173" s="9" t="str">
        <f t="shared" si="19"/>
        <v>Delayed</v>
      </c>
      <c r="P173" s="9" t="str">
        <f t="shared" si="20"/>
        <v>Not eligible</v>
      </c>
      <c r="Q173" s="9">
        <f t="shared" si="21"/>
        <v>166</v>
      </c>
      <c r="R173" s="9" t="str">
        <f t="shared" si="22"/>
        <v>SE</v>
      </c>
      <c r="S173" s="9" t="str">
        <f t="shared" si="23"/>
        <v>RIC</v>
      </c>
      <c r="T173" s="9" t="str">
        <f t="shared" si="24"/>
        <v>Chiamaka Ibe</v>
      </c>
      <c r="U173" t="str">
        <f t="shared" si="25"/>
        <v>December</v>
      </c>
    </row>
    <row r="174" spans="1:21" ht="14.25" customHeight="1" x14ac:dyDescent="0.25">
      <c r="A174" s="4">
        <v>173</v>
      </c>
      <c r="B174" s="5" t="s">
        <v>400</v>
      </c>
      <c r="C174" s="5" t="s">
        <v>401</v>
      </c>
      <c r="D174" s="5" t="s">
        <v>33</v>
      </c>
      <c r="E174" s="5" t="s">
        <v>53</v>
      </c>
      <c r="F174" s="6">
        <v>7.4</v>
      </c>
      <c r="G174" s="7">
        <v>45153</v>
      </c>
      <c r="H174" s="7">
        <v>45272</v>
      </c>
      <c r="I174" s="7">
        <v>45383</v>
      </c>
      <c r="J174" s="7">
        <v>45373</v>
      </c>
      <c r="K174" s="8">
        <v>9350</v>
      </c>
      <c r="L174" s="5" t="s">
        <v>25</v>
      </c>
      <c r="M174" s="8">
        <v>301000</v>
      </c>
      <c r="N174" s="9" t="str">
        <f t="shared" si="18"/>
        <v>Medium scale</v>
      </c>
      <c r="O174" s="9" t="str">
        <f t="shared" si="19"/>
        <v>On Schedule</v>
      </c>
      <c r="P174" s="9" t="str">
        <f t="shared" si="20"/>
        <v>Loan eligible</v>
      </c>
      <c r="Q174" s="9">
        <f t="shared" si="21"/>
        <v>101</v>
      </c>
      <c r="R174" s="9" t="str">
        <f t="shared" si="22"/>
        <v>NW</v>
      </c>
      <c r="S174" s="9" t="str">
        <f t="shared" si="23"/>
        <v>SOR</v>
      </c>
      <c r="T174" s="9" t="str">
        <f t="shared" si="24"/>
        <v>Yetunde Adisa</v>
      </c>
      <c r="U174" t="str">
        <f t="shared" si="25"/>
        <v>March</v>
      </c>
    </row>
    <row r="175" spans="1:21" ht="14.25" customHeight="1" x14ac:dyDescent="0.25">
      <c r="A175" s="10">
        <v>174</v>
      </c>
      <c r="B175" s="11" t="s">
        <v>402</v>
      </c>
      <c r="C175" s="11" t="s">
        <v>403</v>
      </c>
      <c r="D175" s="11" t="s">
        <v>33</v>
      </c>
      <c r="E175" s="11" t="s">
        <v>53</v>
      </c>
      <c r="F175" s="12">
        <v>12.1</v>
      </c>
      <c r="G175" s="13">
        <v>45246</v>
      </c>
      <c r="H175" s="13">
        <v>45338</v>
      </c>
      <c r="I175" s="13">
        <v>45452</v>
      </c>
      <c r="J175" s="13">
        <v>45486</v>
      </c>
      <c r="K175" s="14">
        <v>14370</v>
      </c>
      <c r="L175" s="11" t="s">
        <v>25</v>
      </c>
      <c r="M175" s="14">
        <v>737000</v>
      </c>
      <c r="N175" s="9" t="str">
        <f t="shared" si="18"/>
        <v>Commercial</v>
      </c>
      <c r="O175" s="9" t="str">
        <f t="shared" si="19"/>
        <v>Delayed</v>
      </c>
      <c r="P175" s="9" t="str">
        <f t="shared" si="20"/>
        <v>Loan eligible</v>
      </c>
      <c r="Q175" s="9">
        <f t="shared" si="21"/>
        <v>148</v>
      </c>
      <c r="R175" s="9" t="str">
        <f t="shared" si="22"/>
        <v>NW</v>
      </c>
      <c r="S175" s="9" t="str">
        <f t="shared" si="23"/>
        <v>SOR</v>
      </c>
      <c r="T175" s="9" t="str">
        <f t="shared" si="24"/>
        <v>Abdullahi Yakubu</v>
      </c>
      <c r="U175" t="str">
        <f t="shared" si="25"/>
        <v>July</v>
      </c>
    </row>
    <row r="176" spans="1:21" ht="14.25" customHeight="1" x14ac:dyDescent="0.25">
      <c r="A176" s="4">
        <v>175</v>
      </c>
      <c r="B176" s="5" t="s">
        <v>404</v>
      </c>
      <c r="C176" s="5" t="s">
        <v>405</v>
      </c>
      <c r="D176" s="5" t="s">
        <v>76</v>
      </c>
      <c r="E176" s="5" t="s">
        <v>24</v>
      </c>
      <c r="F176" s="6">
        <v>1.7</v>
      </c>
      <c r="G176" s="7">
        <v>45590</v>
      </c>
      <c r="H176" s="7">
        <v>45622</v>
      </c>
      <c r="I176" s="7">
        <v>45763</v>
      </c>
      <c r="J176" s="7">
        <v>45779</v>
      </c>
      <c r="K176" s="8">
        <v>5150</v>
      </c>
      <c r="L176" s="5" t="s">
        <v>35</v>
      </c>
      <c r="M176" s="8">
        <v>90000</v>
      </c>
      <c r="N176" s="9" t="str">
        <f t="shared" si="18"/>
        <v>Small holder</v>
      </c>
      <c r="O176" s="9" t="str">
        <f t="shared" si="19"/>
        <v>Delayed</v>
      </c>
      <c r="P176" s="9" t="str">
        <f t="shared" si="20"/>
        <v>Not eligible</v>
      </c>
      <c r="Q176" s="9">
        <f t="shared" si="21"/>
        <v>157</v>
      </c>
      <c r="R176" s="9" t="str">
        <f t="shared" si="22"/>
        <v>NC</v>
      </c>
      <c r="S176" s="9" t="str">
        <f t="shared" si="23"/>
        <v>RIC</v>
      </c>
      <c r="T176" s="9" t="str">
        <f t="shared" si="24"/>
        <v>Temitope Adeyemi</v>
      </c>
      <c r="U176" t="str">
        <f t="shared" si="25"/>
        <v>May</v>
      </c>
    </row>
    <row r="177" spans="1:21" ht="14.25" customHeight="1" x14ac:dyDescent="0.25">
      <c r="A177" s="10">
        <v>176</v>
      </c>
      <c r="B177" s="11" t="s">
        <v>406</v>
      </c>
      <c r="C177" s="11" t="s">
        <v>407</v>
      </c>
      <c r="D177" s="11" t="s">
        <v>61</v>
      </c>
      <c r="E177" s="11" t="s">
        <v>46</v>
      </c>
      <c r="F177" s="12">
        <v>1.4</v>
      </c>
      <c r="G177" s="13">
        <v>45332</v>
      </c>
      <c r="H177" s="13">
        <v>45344</v>
      </c>
      <c r="I177" s="13">
        <v>45547</v>
      </c>
      <c r="J177" s="13">
        <v>45560</v>
      </c>
      <c r="K177" s="14">
        <v>10860</v>
      </c>
      <c r="L177" s="11" t="s">
        <v>25</v>
      </c>
      <c r="M177" s="14">
        <v>0</v>
      </c>
      <c r="N177" s="9" t="str">
        <f t="shared" si="18"/>
        <v>Small holder</v>
      </c>
      <c r="O177" s="9" t="str">
        <f t="shared" si="19"/>
        <v>Delayed</v>
      </c>
      <c r="P177" s="9" t="str">
        <f t="shared" si="20"/>
        <v>Not eligible</v>
      </c>
      <c r="Q177" s="9">
        <f t="shared" si="21"/>
        <v>216</v>
      </c>
      <c r="R177" s="9" t="str">
        <f t="shared" si="22"/>
        <v>SW</v>
      </c>
      <c r="S177" s="9" t="str">
        <f t="shared" si="23"/>
        <v>YAM</v>
      </c>
      <c r="T177" s="9" t="str">
        <f t="shared" si="24"/>
        <v>John Onyeka</v>
      </c>
      <c r="U177" t="str">
        <f t="shared" si="25"/>
        <v>September</v>
      </c>
    </row>
    <row r="178" spans="1:21" ht="14.25" customHeight="1" x14ac:dyDescent="0.25">
      <c r="A178" s="4">
        <v>177</v>
      </c>
      <c r="B178" s="5" t="s">
        <v>408</v>
      </c>
      <c r="C178" s="5" t="s">
        <v>409</v>
      </c>
      <c r="D178" s="5" t="s">
        <v>28</v>
      </c>
      <c r="E178" s="5" t="s">
        <v>46</v>
      </c>
      <c r="F178" s="6">
        <v>6.2</v>
      </c>
      <c r="G178" s="7">
        <v>45301</v>
      </c>
      <c r="H178" s="7">
        <v>45389</v>
      </c>
      <c r="I178" s="7">
        <v>45575</v>
      </c>
      <c r="J178" s="7">
        <v>45592</v>
      </c>
      <c r="K178" s="8">
        <v>54680</v>
      </c>
      <c r="L178" s="5" t="s">
        <v>25</v>
      </c>
      <c r="M178" s="8">
        <v>306000</v>
      </c>
      <c r="N178" s="9" t="str">
        <f t="shared" si="18"/>
        <v>Medium scale</v>
      </c>
      <c r="O178" s="9" t="str">
        <f t="shared" si="19"/>
        <v>Delayed</v>
      </c>
      <c r="P178" s="9" t="str">
        <f t="shared" si="20"/>
        <v>Loan eligible</v>
      </c>
      <c r="Q178" s="9">
        <f t="shared" si="21"/>
        <v>203</v>
      </c>
      <c r="R178" s="9" t="str">
        <f t="shared" si="22"/>
        <v>NE</v>
      </c>
      <c r="S178" s="9" t="str">
        <f t="shared" si="23"/>
        <v>YAM</v>
      </c>
      <c r="T178" s="9" t="str">
        <f t="shared" si="24"/>
        <v>Kunle Eze</v>
      </c>
      <c r="U178" t="str">
        <f t="shared" si="25"/>
        <v>October</v>
      </c>
    </row>
    <row r="179" spans="1:21" ht="14.25" customHeight="1" x14ac:dyDescent="0.25">
      <c r="A179" s="10">
        <v>178</v>
      </c>
      <c r="B179" s="11" t="s">
        <v>410</v>
      </c>
      <c r="C179" s="11" t="s">
        <v>411</v>
      </c>
      <c r="D179" s="11" t="s">
        <v>61</v>
      </c>
      <c r="E179" s="11" t="s">
        <v>29</v>
      </c>
      <c r="F179" s="12">
        <v>6.9</v>
      </c>
      <c r="G179" s="13">
        <v>45760</v>
      </c>
      <c r="H179" s="13">
        <v>45937</v>
      </c>
      <c r="I179" s="13">
        <v>46049</v>
      </c>
      <c r="J179" s="13">
        <v>46089</v>
      </c>
      <c r="K179" s="14">
        <v>7270</v>
      </c>
      <c r="L179" s="11" t="s">
        <v>35</v>
      </c>
      <c r="M179" s="14">
        <v>325000</v>
      </c>
      <c r="N179" s="9" t="str">
        <f t="shared" si="18"/>
        <v>Medium scale</v>
      </c>
      <c r="O179" s="9" t="str">
        <f t="shared" si="19"/>
        <v>Delayed</v>
      </c>
      <c r="P179" s="9" t="str">
        <f t="shared" si="20"/>
        <v>Not eligible</v>
      </c>
      <c r="Q179" s="9">
        <f t="shared" si="21"/>
        <v>152</v>
      </c>
      <c r="R179" s="9" t="str">
        <f t="shared" si="22"/>
        <v>SW</v>
      </c>
      <c r="S179" s="9" t="str">
        <f t="shared" si="23"/>
        <v>GRN</v>
      </c>
      <c r="T179" s="9" t="str">
        <f t="shared" si="24"/>
        <v>Damilola Bello</v>
      </c>
      <c r="U179" t="str">
        <f t="shared" si="25"/>
        <v>March</v>
      </c>
    </row>
    <row r="180" spans="1:21" ht="14.25" customHeight="1" x14ac:dyDescent="0.25">
      <c r="A180" s="4">
        <v>179</v>
      </c>
      <c r="B180" s="5" t="s">
        <v>412</v>
      </c>
      <c r="C180" s="5" t="s">
        <v>413</v>
      </c>
      <c r="D180" s="5" t="s">
        <v>33</v>
      </c>
      <c r="E180" s="5" t="s">
        <v>49</v>
      </c>
      <c r="F180" s="6">
        <v>0.7</v>
      </c>
      <c r="G180" s="7">
        <v>45319</v>
      </c>
      <c r="H180" s="7">
        <v>45432</v>
      </c>
      <c r="I180" s="7">
        <v>45713</v>
      </c>
      <c r="J180" s="7">
        <v>45748</v>
      </c>
      <c r="K180" s="8">
        <v>7810</v>
      </c>
      <c r="L180" s="5" t="s">
        <v>35</v>
      </c>
      <c r="M180" s="8">
        <v>40000</v>
      </c>
      <c r="N180" s="9" t="str">
        <f t="shared" si="18"/>
        <v>Small holder</v>
      </c>
      <c r="O180" s="9" t="str">
        <f t="shared" si="19"/>
        <v>Delayed</v>
      </c>
      <c r="P180" s="9" t="str">
        <f t="shared" si="20"/>
        <v>Not eligible</v>
      </c>
      <c r="Q180" s="9">
        <f t="shared" si="21"/>
        <v>316</v>
      </c>
      <c r="R180" s="9" t="str">
        <f t="shared" si="22"/>
        <v>NW</v>
      </c>
      <c r="S180" s="9" t="str">
        <f t="shared" si="23"/>
        <v>CAS</v>
      </c>
      <c r="T180" s="9" t="str">
        <f t="shared" si="24"/>
        <v>Ibrahim Chukwu</v>
      </c>
      <c r="U180" t="str">
        <f t="shared" si="25"/>
        <v>April</v>
      </c>
    </row>
    <row r="181" spans="1:21" ht="14.25" customHeight="1" x14ac:dyDescent="0.25">
      <c r="A181" s="10">
        <v>180</v>
      </c>
      <c r="B181" s="11" t="s">
        <v>414</v>
      </c>
      <c r="C181" s="11" t="s">
        <v>415</v>
      </c>
      <c r="D181" s="11" t="s">
        <v>61</v>
      </c>
      <c r="E181" s="11" t="s">
        <v>53</v>
      </c>
      <c r="F181" s="12">
        <v>0.6</v>
      </c>
      <c r="G181" s="13">
        <v>45294</v>
      </c>
      <c r="H181" s="13">
        <v>45301</v>
      </c>
      <c r="I181" s="13">
        <v>45416</v>
      </c>
      <c r="J181" s="13">
        <v>45410</v>
      </c>
      <c r="K181" s="14">
        <v>920</v>
      </c>
      <c r="L181" s="11" t="s">
        <v>25</v>
      </c>
      <c r="M181" s="14">
        <v>36000</v>
      </c>
      <c r="N181" s="9" t="str">
        <f t="shared" si="18"/>
        <v>Small holder</v>
      </c>
      <c r="O181" s="9" t="str">
        <f t="shared" si="19"/>
        <v>On Schedule</v>
      </c>
      <c r="P181" s="9" t="str">
        <f t="shared" si="20"/>
        <v>Not eligible</v>
      </c>
      <c r="Q181" s="9">
        <f t="shared" si="21"/>
        <v>109</v>
      </c>
      <c r="R181" s="9" t="str">
        <f t="shared" si="22"/>
        <v>SW</v>
      </c>
      <c r="S181" s="9" t="str">
        <f t="shared" si="23"/>
        <v>SOR</v>
      </c>
      <c r="T181" s="9" t="str">
        <f t="shared" si="24"/>
        <v>Amaka Sani</v>
      </c>
      <c r="U181" t="str">
        <f t="shared" si="25"/>
        <v>April</v>
      </c>
    </row>
    <row r="182" spans="1:21" ht="14.25" customHeight="1" x14ac:dyDescent="0.25">
      <c r="A182" s="4">
        <v>181</v>
      </c>
      <c r="B182" s="5" t="s">
        <v>416</v>
      </c>
      <c r="C182" s="5" t="s">
        <v>417</v>
      </c>
      <c r="D182" s="5" t="s">
        <v>61</v>
      </c>
      <c r="E182" s="5" t="s">
        <v>66</v>
      </c>
      <c r="F182" s="6">
        <v>1.6</v>
      </c>
      <c r="G182" s="7">
        <v>45226</v>
      </c>
      <c r="H182" s="7">
        <v>45239</v>
      </c>
      <c r="I182" s="7">
        <v>45332</v>
      </c>
      <c r="J182" s="7">
        <v>45328</v>
      </c>
      <c r="K182" s="8">
        <v>1150</v>
      </c>
      <c r="L182" s="5" t="s">
        <v>25</v>
      </c>
      <c r="M182" s="8">
        <v>101000</v>
      </c>
      <c r="N182" s="9" t="str">
        <f t="shared" si="18"/>
        <v>Small holder</v>
      </c>
      <c r="O182" s="9" t="str">
        <f t="shared" si="19"/>
        <v>On Schedule</v>
      </c>
      <c r="P182" s="9" t="str">
        <f t="shared" si="20"/>
        <v>Not eligible</v>
      </c>
      <c r="Q182" s="9">
        <f t="shared" si="21"/>
        <v>89</v>
      </c>
      <c r="R182" s="9" t="str">
        <f t="shared" si="22"/>
        <v>SW</v>
      </c>
      <c r="S182" s="9" t="str">
        <f t="shared" si="23"/>
        <v>MIL</v>
      </c>
      <c r="T182" s="9" t="str">
        <f t="shared" si="24"/>
        <v>Nkechi Adamu</v>
      </c>
      <c r="U182" t="str">
        <f t="shared" si="25"/>
        <v>February</v>
      </c>
    </row>
    <row r="183" spans="1:21" ht="14.25" customHeight="1" x14ac:dyDescent="0.25">
      <c r="A183" s="10">
        <v>182</v>
      </c>
      <c r="B183" s="11" t="s">
        <v>418</v>
      </c>
      <c r="C183" s="11" t="s">
        <v>419</v>
      </c>
      <c r="D183" s="11" t="s">
        <v>52</v>
      </c>
      <c r="E183" s="11" t="s">
        <v>24</v>
      </c>
      <c r="F183" s="12">
        <v>1.9</v>
      </c>
      <c r="G183" s="13">
        <v>45482</v>
      </c>
      <c r="H183" s="13">
        <v>45497</v>
      </c>
      <c r="I183" s="13">
        <v>45641</v>
      </c>
      <c r="J183" s="13">
        <v>45676</v>
      </c>
      <c r="K183" s="14">
        <v>4740</v>
      </c>
      <c r="L183" s="11" t="s">
        <v>25</v>
      </c>
      <c r="M183" s="14">
        <v>113000</v>
      </c>
      <c r="N183" s="9" t="str">
        <f t="shared" si="18"/>
        <v>Small holder</v>
      </c>
      <c r="O183" s="9" t="str">
        <f t="shared" si="19"/>
        <v>Delayed</v>
      </c>
      <c r="P183" s="9" t="str">
        <f t="shared" si="20"/>
        <v>Not eligible</v>
      </c>
      <c r="Q183" s="9">
        <f t="shared" si="21"/>
        <v>179</v>
      </c>
      <c r="R183" s="9" t="str">
        <f t="shared" si="22"/>
        <v>SE</v>
      </c>
      <c r="S183" s="9" t="str">
        <f t="shared" si="23"/>
        <v>RIC</v>
      </c>
      <c r="T183" s="9" t="str">
        <f t="shared" si="24"/>
        <v>Olamide Bello</v>
      </c>
      <c r="U183" t="str">
        <f t="shared" si="25"/>
        <v>January</v>
      </c>
    </row>
    <row r="184" spans="1:21" ht="14.25" customHeight="1" x14ac:dyDescent="0.25">
      <c r="A184" s="4">
        <v>183</v>
      </c>
      <c r="B184" s="5" t="s">
        <v>420</v>
      </c>
      <c r="C184" s="5" t="s">
        <v>421</v>
      </c>
      <c r="D184" s="5" t="s">
        <v>28</v>
      </c>
      <c r="E184" s="5" t="s">
        <v>53</v>
      </c>
      <c r="F184" s="6">
        <v>1.6</v>
      </c>
      <c r="G184" s="7">
        <v>45376</v>
      </c>
      <c r="H184" s="7">
        <v>45411</v>
      </c>
      <c r="I184" s="7">
        <v>45535</v>
      </c>
      <c r="J184" s="7">
        <v>45549</v>
      </c>
      <c r="K184" s="8">
        <v>2280</v>
      </c>
      <c r="L184" s="5" t="s">
        <v>35</v>
      </c>
      <c r="M184" s="8">
        <v>98000</v>
      </c>
      <c r="N184" s="9" t="str">
        <f t="shared" si="18"/>
        <v>Small holder</v>
      </c>
      <c r="O184" s="9" t="str">
        <f t="shared" si="19"/>
        <v>Delayed</v>
      </c>
      <c r="P184" s="9" t="str">
        <f t="shared" si="20"/>
        <v>Not eligible</v>
      </c>
      <c r="Q184" s="9">
        <f t="shared" si="21"/>
        <v>138</v>
      </c>
      <c r="R184" s="9" t="str">
        <f t="shared" si="22"/>
        <v>NE</v>
      </c>
      <c r="S184" s="9" t="str">
        <f t="shared" si="23"/>
        <v>SOR</v>
      </c>
      <c r="T184" s="9" t="str">
        <f t="shared" si="24"/>
        <v>Kabiru Adeyemi</v>
      </c>
      <c r="U184" t="str">
        <f t="shared" si="25"/>
        <v>September</v>
      </c>
    </row>
    <row r="185" spans="1:21" ht="14.25" customHeight="1" x14ac:dyDescent="0.25">
      <c r="A185" s="10">
        <v>184</v>
      </c>
      <c r="B185" s="11" t="s">
        <v>422</v>
      </c>
      <c r="C185" s="11" t="s">
        <v>293</v>
      </c>
      <c r="D185" s="11" t="s">
        <v>23</v>
      </c>
      <c r="E185" s="11" t="s">
        <v>29</v>
      </c>
      <c r="F185" s="12">
        <v>0.8</v>
      </c>
      <c r="G185" s="13">
        <v>44987</v>
      </c>
      <c r="H185" s="13">
        <v>45137</v>
      </c>
      <c r="I185" s="13">
        <v>45238</v>
      </c>
      <c r="J185" s="13">
        <v>45277</v>
      </c>
      <c r="K185" s="14">
        <v>820</v>
      </c>
      <c r="L185" s="11" t="s">
        <v>25</v>
      </c>
      <c r="M185" s="14">
        <v>39000</v>
      </c>
      <c r="N185" s="9" t="str">
        <f t="shared" si="18"/>
        <v>Small holder</v>
      </c>
      <c r="O185" s="9" t="str">
        <f t="shared" si="19"/>
        <v>Delayed</v>
      </c>
      <c r="P185" s="9" t="str">
        <f t="shared" si="20"/>
        <v>Not eligible</v>
      </c>
      <c r="Q185" s="9">
        <f t="shared" si="21"/>
        <v>140</v>
      </c>
      <c r="R185" s="9" t="str">
        <f t="shared" si="22"/>
        <v>SS</v>
      </c>
      <c r="S185" s="9" t="str">
        <f t="shared" si="23"/>
        <v>GRN</v>
      </c>
      <c r="T185" s="9" t="str">
        <f t="shared" si="24"/>
        <v>Tunde Okeke</v>
      </c>
      <c r="U185" t="str">
        <f t="shared" si="25"/>
        <v>December</v>
      </c>
    </row>
    <row r="186" spans="1:21" ht="14.25" customHeight="1" x14ac:dyDescent="0.25">
      <c r="A186" s="4">
        <v>185</v>
      </c>
      <c r="B186" s="5" t="s">
        <v>423</v>
      </c>
      <c r="C186" s="5" t="s">
        <v>424</v>
      </c>
      <c r="D186" s="5" t="s">
        <v>76</v>
      </c>
      <c r="E186" s="5" t="s">
        <v>24</v>
      </c>
      <c r="F186" s="6">
        <v>23</v>
      </c>
      <c r="G186" s="7">
        <v>45056</v>
      </c>
      <c r="H186" s="7">
        <v>45094</v>
      </c>
      <c r="I186" s="7">
        <v>45221</v>
      </c>
      <c r="J186" s="7">
        <v>45216</v>
      </c>
      <c r="K186" s="8">
        <v>82600</v>
      </c>
      <c r="L186" s="5" t="s">
        <v>35</v>
      </c>
      <c r="M186" s="8">
        <v>1258000</v>
      </c>
      <c r="N186" s="9" t="str">
        <f t="shared" si="18"/>
        <v>Commercial</v>
      </c>
      <c r="O186" s="9" t="str">
        <f t="shared" si="19"/>
        <v>On Schedule</v>
      </c>
      <c r="P186" s="9" t="str">
        <f t="shared" si="20"/>
        <v>Not eligible</v>
      </c>
      <c r="Q186" s="9">
        <f t="shared" si="21"/>
        <v>122</v>
      </c>
      <c r="R186" s="9" t="str">
        <f t="shared" si="22"/>
        <v>NC</v>
      </c>
      <c r="S186" s="9" t="str">
        <f t="shared" si="23"/>
        <v>RIC</v>
      </c>
      <c r="T186" s="9" t="str">
        <f t="shared" si="24"/>
        <v>Amaka Uzoma</v>
      </c>
      <c r="U186" t="str">
        <f t="shared" si="25"/>
        <v>October</v>
      </c>
    </row>
    <row r="187" spans="1:21" ht="14.25" customHeight="1" x14ac:dyDescent="0.25">
      <c r="A187" s="10">
        <v>186</v>
      </c>
      <c r="B187" s="11" t="s">
        <v>425</v>
      </c>
      <c r="C187" s="11" t="s">
        <v>426</v>
      </c>
      <c r="D187" s="11" t="s">
        <v>52</v>
      </c>
      <c r="E187" s="11" t="s">
        <v>53</v>
      </c>
      <c r="F187" s="12">
        <v>1.6</v>
      </c>
      <c r="G187" s="13">
        <v>45714</v>
      </c>
      <c r="H187" s="13">
        <v>45742</v>
      </c>
      <c r="I187" s="13">
        <v>45854</v>
      </c>
      <c r="J187" s="13">
        <v>45872</v>
      </c>
      <c r="K187" s="14">
        <v>2140</v>
      </c>
      <c r="L187" s="11" t="s">
        <v>30</v>
      </c>
      <c r="M187" s="14">
        <v>87000</v>
      </c>
      <c r="N187" s="9" t="str">
        <f t="shared" si="18"/>
        <v>Small holder</v>
      </c>
      <c r="O187" s="9" t="str">
        <f t="shared" si="19"/>
        <v>Delayed</v>
      </c>
      <c r="P187" s="9" t="str">
        <f t="shared" si="20"/>
        <v>Not eligible</v>
      </c>
      <c r="Q187" s="9">
        <f t="shared" si="21"/>
        <v>130</v>
      </c>
      <c r="R187" s="9" t="str">
        <f t="shared" si="22"/>
        <v>SE</v>
      </c>
      <c r="S187" s="9" t="str">
        <f t="shared" si="23"/>
        <v>SOR</v>
      </c>
      <c r="T187" s="9" t="str">
        <f t="shared" si="24"/>
        <v>Babajide Uzoma</v>
      </c>
      <c r="U187" t="str">
        <f t="shared" si="25"/>
        <v>August</v>
      </c>
    </row>
    <row r="188" spans="1:21" ht="14.25" customHeight="1" x14ac:dyDescent="0.25">
      <c r="A188" s="4">
        <v>187</v>
      </c>
      <c r="B188" s="5" t="s">
        <v>427</v>
      </c>
      <c r="C188" s="5" t="s">
        <v>428</v>
      </c>
      <c r="D188" s="5" t="s">
        <v>52</v>
      </c>
      <c r="E188" s="5" t="s">
        <v>58</v>
      </c>
      <c r="F188" s="6">
        <v>1.4</v>
      </c>
      <c r="G188" s="7">
        <v>45293</v>
      </c>
      <c r="H188" s="7">
        <v>45314</v>
      </c>
      <c r="I188" s="7">
        <v>45429</v>
      </c>
      <c r="J188" s="7">
        <v>45443</v>
      </c>
      <c r="K188" s="8">
        <v>4480</v>
      </c>
      <c r="L188" s="5" t="s">
        <v>30</v>
      </c>
      <c r="M188" s="8">
        <v>70000</v>
      </c>
      <c r="N188" s="9" t="str">
        <f t="shared" si="18"/>
        <v>Small holder</v>
      </c>
      <c r="O188" s="9" t="str">
        <f t="shared" si="19"/>
        <v>Delayed</v>
      </c>
      <c r="P188" s="9" t="str">
        <f t="shared" si="20"/>
        <v>Not eligible</v>
      </c>
      <c r="Q188" s="9">
        <f t="shared" si="21"/>
        <v>129</v>
      </c>
      <c r="R188" s="9" t="str">
        <f t="shared" si="22"/>
        <v>SE</v>
      </c>
      <c r="S188" s="9" t="str">
        <f t="shared" si="23"/>
        <v>MAZ</v>
      </c>
      <c r="T188" s="9" t="str">
        <f t="shared" si="24"/>
        <v>Kabiru Yakubu</v>
      </c>
      <c r="U188" t="str">
        <f t="shared" si="25"/>
        <v>May</v>
      </c>
    </row>
    <row r="189" spans="1:21" ht="14.25" customHeight="1" x14ac:dyDescent="0.25">
      <c r="A189" s="10">
        <v>188</v>
      </c>
      <c r="B189" s="11" t="s">
        <v>429</v>
      </c>
      <c r="C189" s="11" t="s">
        <v>430</v>
      </c>
      <c r="D189" s="11" t="s">
        <v>76</v>
      </c>
      <c r="E189" s="11" t="s">
        <v>34</v>
      </c>
      <c r="F189" s="12">
        <v>8.1999999999999993</v>
      </c>
      <c r="G189" s="13">
        <v>45625</v>
      </c>
      <c r="H189" s="13">
        <v>45642</v>
      </c>
      <c r="I189" s="13">
        <v>45947</v>
      </c>
      <c r="J189" s="13">
        <v>45940</v>
      </c>
      <c r="K189" s="14">
        <v>2910</v>
      </c>
      <c r="L189" s="11" t="s">
        <v>30</v>
      </c>
      <c r="M189" s="14">
        <v>0</v>
      </c>
      <c r="N189" s="9" t="str">
        <f t="shared" si="18"/>
        <v>Medium scale</v>
      </c>
      <c r="O189" s="9" t="str">
        <f t="shared" si="19"/>
        <v>On Schedule</v>
      </c>
      <c r="P189" s="9" t="str">
        <f t="shared" si="20"/>
        <v>Not eligible</v>
      </c>
      <c r="Q189" s="9">
        <f t="shared" si="21"/>
        <v>298</v>
      </c>
      <c r="R189" s="9" t="str">
        <f t="shared" si="22"/>
        <v>NC</v>
      </c>
      <c r="S189" s="9" t="str">
        <f t="shared" si="23"/>
        <v>COC</v>
      </c>
      <c r="T189" s="9" t="str">
        <f t="shared" si="24"/>
        <v>Chukwudi Usman</v>
      </c>
      <c r="U189" t="str">
        <f t="shared" si="25"/>
        <v>October</v>
      </c>
    </row>
    <row r="190" spans="1:21" ht="14.25" customHeight="1" x14ac:dyDescent="0.25">
      <c r="A190" s="4">
        <v>189</v>
      </c>
      <c r="B190" s="5" t="s">
        <v>431</v>
      </c>
      <c r="C190" s="5" t="s">
        <v>432</v>
      </c>
      <c r="D190" s="5" t="s">
        <v>61</v>
      </c>
      <c r="E190" s="5" t="s">
        <v>58</v>
      </c>
      <c r="F190" s="6">
        <v>23.2</v>
      </c>
      <c r="G190" s="7">
        <v>45236</v>
      </c>
      <c r="H190" s="7">
        <v>45281</v>
      </c>
      <c r="I190" s="7">
        <v>45398</v>
      </c>
      <c r="J190" s="7">
        <v>45416</v>
      </c>
      <c r="K190" s="8">
        <v>43850</v>
      </c>
      <c r="L190" s="5" t="s">
        <v>25</v>
      </c>
      <c r="M190" s="8">
        <v>0</v>
      </c>
      <c r="N190" s="9" t="str">
        <f t="shared" si="18"/>
        <v>Commercial</v>
      </c>
      <c r="O190" s="9" t="str">
        <f t="shared" si="19"/>
        <v>Delayed</v>
      </c>
      <c r="P190" s="9" t="str">
        <f t="shared" si="20"/>
        <v>Loan eligible</v>
      </c>
      <c r="Q190" s="9">
        <f t="shared" si="21"/>
        <v>135</v>
      </c>
      <c r="R190" s="9" t="str">
        <f t="shared" si="22"/>
        <v>SW</v>
      </c>
      <c r="S190" s="9" t="str">
        <f t="shared" si="23"/>
        <v>MAZ</v>
      </c>
      <c r="T190" s="9" t="str">
        <f t="shared" si="24"/>
        <v>Zainab Abubakar</v>
      </c>
      <c r="U190" t="str">
        <f t="shared" si="25"/>
        <v>May</v>
      </c>
    </row>
    <row r="191" spans="1:21" ht="14.25" customHeight="1" x14ac:dyDescent="0.25">
      <c r="A191" s="10">
        <v>190</v>
      </c>
      <c r="B191" s="11" t="s">
        <v>433</v>
      </c>
      <c r="C191" s="11" t="s">
        <v>205</v>
      </c>
      <c r="D191" s="11" t="s">
        <v>23</v>
      </c>
      <c r="E191" s="11" t="s">
        <v>49</v>
      </c>
      <c r="F191" s="12">
        <v>8</v>
      </c>
      <c r="G191" s="13">
        <v>45366</v>
      </c>
      <c r="H191" s="13">
        <v>45538</v>
      </c>
      <c r="I191" s="13">
        <v>45813</v>
      </c>
      <c r="J191" s="13">
        <v>45814</v>
      </c>
      <c r="K191" s="14">
        <v>66240</v>
      </c>
      <c r="L191" s="11" t="s">
        <v>25</v>
      </c>
      <c r="M191" s="14">
        <v>445000</v>
      </c>
      <c r="N191" s="9" t="str">
        <f t="shared" si="18"/>
        <v>Medium scale</v>
      </c>
      <c r="O191" s="9" t="str">
        <f t="shared" si="19"/>
        <v>Delayed</v>
      </c>
      <c r="P191" s="9" t="str">
        <f t="shared" si="20"/>
        <v>Loan eligible</v>
      </c>
      <c r="Q191" s="9">
        <f t="shared" si="21"/>
        <v>276</v>
      </c>
      <c r="R191" s="9" t="str">
        <f t="shared" si="22"/>
        <v>SS</v>
      </c>
      <c r="S191" s="9" t="str">
        <f t="shared" si="23"/>
        <v>CAS</v>
      </c>
      <c r="T191" s="9" t="str">
        <f t="shared" si="24"/>
        <v>Emeka Onyeka</v>
      </c>
      <c r="U191" t="str">
        <f t="shared" si="25"/>
        <v>June</v>
      </c>
    </row>
    <row r="192" spans="1:21" ht="14.25" customHeight="1" x14ac:dyDescent="0.25">
      <c r="A192" s="4">
        <v>191</v>
      </c>
      <c r="B192" s="5" t="s">
        <v>434</v>
      </c>
      <c r="C192" s="5" t="s">
        <v>435</v>
      </c>
      <c r="D192" s="5" t="s">
        <v>61</v>
      </c>
      <c r="E192" s="5" t="s">
        <v>58</v>
      </c>
      <c r="F192" s="6">
        <v>16.3</v>
      </c>
      <c r="G192" s="7">
        <v>45062</v>
      </c>
      <c r="H192" s="7">
        <v>45189</v>
      </c>
      <c r="I192" s="7">
        <v>45281</v>
      </c>
      <c r="J192" s="7">
        <v>45280</v>
      </c>
      <c r="K192" s="8">
        <v>46390</v>
      </c>
      <c r="L192" s="5" t="s">
        <v>25</v>
      </c>
      <c r="M192" s="8">
        <v>1083000</v>
      </c>
      <c r="N192" s="9" t="str">
        <f t="shared" si="18"/>
        <v>Commercial</v>
      </c>
      <c r="O192" s="9" t="str">
        <f t="shared" si="19"/>
        <v>On Schedule</v>
      </c>
      <c r="P192" s="9" t="str">
        <f t="shared" si="20"/>
        <v>Loan eligible</v>
      </c>
      <c r="Q192" s="9">
        <f t="shared" si="21"/>
        <v>91</v>
      </c>
      <c r="R192" s="9" t="str">
        <f t="shared" si="22"/>
        <v>SW</v>
      </c>
      <c r="S192" s="9" t="str">
        <f t="shared" si="23"/>
        <v>MAZ</v>
      </c>
      <c r="T192" s="9" t="str">
        <f t="shared" si="24"/>
        <v>Adaeze Aliyu</v>
      </c>
      <c r="U192" t="str">
        <f t="shared" si="25"/>
        <v>December</v>
      </c>
    </row>
    <row r="193" spans="1:21" ht="14.25" customHeight="1" x14ac:dyDescent="0.25">
      <c r="A193" s="10">
        <v>192</v>
      </c>
      <c r="B193" s="11" t="s">
        <v>436</v>
      </c>
      <c r="C193" s="11" t="s">
        <v>437</v>
      </c>
      <c r="D193" s="11" t="s">
        <v>28</v>
      </c>
      <c r="E193" s="11" t="s">
        <v>29</v>
      </c>
      <c r="F193" s="12">
        <v>2.5</v>
      </c>
      <c r="G193" s="13">
        <v>45503</v>
      </c>
      <c r="H193" s="13">
        <v>45510</v>
      </c>
      <c r="I193" s="13">
        <v>45619</v>
      </c>
      <c r="J193" s="13">
        <v>45648</v>
      </c>
      <c r="K193" s="14">
        <v>2280</v>
      </c>
      <c r="L193" s="11" t="s">
        <v>25</v>
      </c>
      <c r="M193" s="14">
        <v>169000</v>
      </c>
      <c r="N193" s="9" t="str">
        <f t="shared" si="18"/>
        <v>Medium scale</v>
      </c>
      <c r="O193" s="9" t="str">
        <f t="shared" si="19"/>
        <v>Delayed</v>
      </c>
      <c r="P193" s="9" t="str">
        <f t="shared" si="20"/>
        <v>Loan eligible</v>
      </c>
      <c r="Q193" s="9">
        <f t="shared" si="21"/>
        <v>138</v>
      </c>
      <c r="R193" s="9" t="str">
        <f t="shared" si="22"/>
        <v>NE</v>
      </c>
      <c r="S193" s="9" t="str">
        <f t="shared" si="23"/>
        <v>GRN</v>
      </c>
      <c r="T193" s="9" t="str">
        <f t="shared" si="24"/>
        <v>Emmanuel Okoye</v>
      </c>
      <c r="U193" t="str">
        <f t="shared" si="25"/>
        <v>December</v>
      </c>
    </row>
    <row r="194" spans="1:21" ht="14.25" customHeight="1" x14ac:dyDescent="0.25">
      <c r="A194" s="4">
        <v>193</v>
      </c>
      <c r="B194" s="5" t="s">
        <v>438</v>
      </c>
      <c r="C194" s="5" t="s">
        <v>439</v>
      </c>
      <c r="D194" s="5" t="s">
        <v>52</v>
      </c>
      <c r="E194" s="5" t="s">
        <v>66</v>
      </c>
      <c r="F194" s="6">
        <v>1.6</v>
      </c>
      <c r="G194" s="7">
        <v>45530</v>
      </c>
      <c r="H194" s="7">
        <v>45633</v>
      </c>
      <c r="I194" s="7">
        <v>45729</v>
      </c>
      <c r="J194" s="7">
        <v>45750</v>
      </c>
      <c r="K194" s="8">
        <v>1690</v>
      </c>
      <c r="L194" s="5" t="s">
        <v>25</v>
      </c>
      <c r="M194" s="8">
        <v>76000</v>
      </c>
      <c r="N194" s="9" t="str">
        <f t="shared" ref="N194:N200" si="26">IF(F194&lt;2,"Small holder",IF(F194&lt;=10,"Medium scale","Commercial"))</f>
        <v>Small holder</v>
      </c>
      <c r="O194" s="9" t="str">
        <f t="shared" ref="O194:O201" si="27">IF(J194&gt;I194,"Delayed","On Schedule")</f>
        <v>Delayed</v>
      </c>
      <c r="P194" s="9" t="str">
        <f t="shared" ref="P194:P201" si="28">IF(AND(L194="Good",F194&gt;=2),"Loan eligible","Not eligible")</f>
        <v>Not eligible</v>
      </c>
      <c r="Q194" s="9">
        <f t="shared" ref="Q194:Q201" si="29">J194-H194</f>
        <v>117</v>
      </c>
      <c r="R194" s="9" t="str">
        <f t="shared" ref="R194:R201" si="30">LEFT(B194,2)</f>
        <v>SE</v>
      </c>
      <c r="S194" s="9" t="str">
        <f t="shared" ref="S194:S201" si="31">MID(B194,4,3)</f>
        <v>MIL</v>
      </c>
      <c r="T194" s="9" t="str">
        <f t="shared" ref="T194:T201" si="32">TRIM(C194)</f>
        <v>Kabiru Danladi</v>
      </c>
      <c r="U194" t="str">
        <f t="shared" si="25"/>
        <v>April</v>
      </c>
    </row>
    <row r="195" spans="1:21" ht="14.25" customHeight="1" x14ac:dyDescent="0.25">
      <c r="A195" s="10">
        <v>194</v>
      </c>
      <c r="B195" s="11" t="s">
        <v>440</v>
      </c>
      <c r="C195" s="11" t="s">
        <v>441</v>
      </c>
      <c r="D195" s="11" t="s">
        <v>52</v>
      </c>
      <c r="E195" s="11" t="s">
        <v>53</v>
      </c>
      <c r="F195" s="12">
        <v>4.4000000000000004</v>
      </c>
      <c r="G195" s="13">
        <v>45457</v>
      </c>
      <c r="H195" s="13">
        <v>45617</v>
      </c>
      <c r="I195" s="13">
        <v>45733</v>
      </c>
      <c r="J195" s="13">
        <v>45727</v>
      </c>
      <c r="K195" s="14">
        <v>4630</v>
      </c>
      <c r="L195" s="11" t="s">
        <v>25</v>
      </c>
      <c r="M195" s="14">
        <v>302000</v>
      </c>
      <c r="N195" s="9" t="str">
        <f t="shared" si="26"/>
        <v>Medium scale</v>
      </c>
      <c r="O195" s="9" t="str">
        <f t="shared" si="27"/>
        <v>On Schedule</v>
      </c>
      <c r="P195" s="9" t="str">
        <f t="shared" si="28"/>
        <v>Loan eligible</v>
      </c>
      <c r="Q195" s="9">
        <f t="shared" si="29"/>
        <v>110</v>
      </c>
      <c r="R195" s="9" t="str">
        <f t="shared" si="30"/>
        <v>SE</v>
      </c>
      <c r="S195" s="9" t="str">
        <f t="shared" si="31"/>
        <v>SOR</v>
      </c>
      <c r="T195" s="9" t="str">
        <f t="shared" si="32"/>
        <v>Emmanuel Balogun</v>
      </c>
      <c r="U195" t="str">
        <f t="shared" ref="U195:U201" si="33">TEXT(J195,"MMMM")</f>
        <v>March</v>
      </c>
    </row>
    <row r="196" spans="1:21" ht="14.25" customHeight="1" x14ac:dyDescent="0.25">
      <c r="A196" s="4">
        <v>195</v>
      </c>
      <c r="B196" s="5" t="s">
        <v>442</v>
      </c>
      <c r="C196" s="5" t="s">
        <v>443</v>
      </c>
      <c r="D196" s="5" t="s">
        <v>61</v>
      </c>
      <c r="E196" s="5" t="s">
        <v>29</v>
      </c>
      <c r="F196" s="6">
        <v>6.2</v>
      </c>
      <c r="G196" s="7">
        <v>44939</v>
      </c>
      <c r="H196" s="7">
        <v>45036</v>
      </c>
      <c r="I196" s="7">
        <v>45155</v>
      </c>
      <c r="J196" s="7">
        <v>45149</v>
      </c>
      <c r="K196" s="8">
        <v>7540</v>
      </c>
      <c r="L196" s="5" t="s">
        <v>35</v>
      </c>
      <c r="M196" s="8">
        <v>375000</v>
      </c>
      <c r="N196" s="9" t="str">
        <f t="shared" si="26"/>
        <v>Medium scale</v>
      </c>
      <c r="O196" s="9" t="str">
        <f t="shared" si="27"/>
        <v>On Schedule</v>
      </c>
      <c r="P196" s="9" t="str">
        <f t="shared" si="28"/>
        <v>Not eligible</v>
      </c>
      <c r="Q196" s="9">
        <f t="shared" si="29"/>
        <v>113</v>
      </c>
      <c r="R196" s="9" t="str">
        <f t="shared" si="30"/>
        <v>SW</v>
      </c>
      <c r="S196" s="9" t="str">
        <f t="shared" si="31"/>
        <v>GRN</v>
      </c>
      <c r="T196" s="9" t="str">
        <f t="shared" si="32"/>
        <v>Kelechi Ibe</v>
      </c>
      <c r="U196" t="str">
        <f t="shared" si="33"/>
        <v>August</v>
      </c>
    </row>
    <row r="197" spans="1:21" ht="14.25" customHeight="1" x14ac:dyDescent="0.25">
      <c r="A197" s="10">
        <v>196</v>
      </c>
      <c r="B197" s="11" t="s">
        <v>444</v>
      </c>
      <c r="C197" s="11" t="s">
        <v>445</v>
      </c>
      <c r="D197" s="11" t="s">
        <v>61</v>
      </c>
      <c r="E197" s="11" t="s">
        <v>24</v>
      </c>
      <c r="F197" s="12">
        <v>0.6</v>
      </c>
      <c r="G197" s="13">
        <v>44988</v>
      </c>
      <c r="H197" s="13">
        <v>45094</v>
      </c>
      <c r="I197" s="13">
        <v>45230</v>
      </c>
      <c r="J197" s="13">
        <v>45222</v>
      </c>
      <c r="K197" s="14">
        <v>2090</v>
      </c>
      <c r="L197" s="11" t="s">
        <v>25</v>
      </c>
      <c r="M197" s="14">
        <v>36000</v>
      </c>
      <c r="N197" s="9" t="str">
        <f t="shared" si="26"/>
        <v>Small holder</v>
      </c>
      <c r="O197" s="9" t="str">
        <f t="shared" si="27"/>
        <v>On Schedule</v>
      </c>
      <c r="P197" s="9" t="str">
        <f t="shared" si="28"/>
        <v>Not eligible</v>
      </c>
      <c r="Q197" s="9">
        <f t="shared" si="29"/>
        <v>128</v>
      </c>
      <c r="R197" s="9" t="str">
        <f t="shared" si="30"/>
        <v>SW</v>
      </c>
      <c r="S197" s="9" t="str">
        <f t="shared" si="31"/>
        <v>RIC</v>
      </c>
      <c r="T197" s="9" t="str">
        <f t="shared" si="32"/>
        <v>Chinedu Tanko</v>
      </c>
      <c r="U197" t="str">
        <f t="shared" si="33"/>
        <v>October</v>
      </c>
    </row>
    <row r="198" spans="1:21" ht="14.25" customHeight="1" x14ac:dyDescent="0.25">
      <c r="A198" s="4">
        <v>197</v>
      </c>
      <c r="B198" s="5" t="s">
        <v>446</v>
      </c>
      <c r="C198" s="5" t="s">
        <v>447</v>
      </c>
      <c r="D198" s="5" t="s">
        <v>52</v>
      </c>
      <c r="E198" s="5" t="s">
        <v>49</v>
      </c>
      <c r="F198" s="6">
        <v>0.8</v>
      </c>
      <c r="G198" s="7">
        <v>45754</v>
      </c>
      <c r="H198" s="7">
        <v>45798</v>
      </c>
      <c r="I198" s="7">
        <v>46102</v>
      </c>
      <c r="J198" s="7">
        <v>46093</v>
      </c>
      <c r="K198" s="8">
        <v>8640</v>
      </c>
      <c r="L198" s="5" t="s">
        <v>30</v>
      </c>
      <c r="M198" s="8">
        <v>34000</v>
      </c>
      <c r="N198" s="9" t="str">
        <f t="shared" si="26"/>
        <v>Small holder</v>
      </c>
      <c r="O198" s="9" t="str">
        <f t="shared" si="27"/>
        <v>On Schedule</v>
      </c>
      <c r="P198" s="9" t="str">
        <f t="shared" si="28"/>
        <v>Not eligible</v>
      </c>
      <c r="Q198" s="9">
        <f t="shared" si="29"/>
        <v>295</v>
      </c>
      <c r="R198" s="9" t="str">
        <f t="shared" si="30"/>
        <v>SE</v>
      </c>
      <c r="S198" s="9" t="str">
        <f t="shared" si="31"/>
        <v>CAS</v>
      </c>
      <c r="T198" s="9" t="str">
        <f t="shared" si="32"/>
        <v>Kunle Yakubu</v>
      </c>
      <c r="U198" t="str">
        <f t="shared" si="33"/>
        <v>March</v>
      </c>
    </row>
    <row r="199" spans="1:21" ht="14.25" customHeight="1" x14ac:dyDescent="0.25">
      <c r="A199" s="10">
        <v>198</v>
      </c>
      <c r="B199" s="11" t="s">
        <v>448</v>
      </c>
      <c r="C199" s="11" t="s">
        <v>449</v>
      </c>
      <c r="D199" s="11" t="s">
        <v>23</v>
      </c>
      <c r="E199" s="11" t="s">
        <v>29</v>
      </c>
      <c r="F199" s="12">
        <v>11.7</v>
      </c>
      <c r="G199" s="13">
        <v>45553</v>
      </c>
      <c r="H199" s="13">
        <v>45713</v>
      </c>
      <c r="I199" s="13">
        <v>45804</v>
      </c>
      <c r="J199" s="13">
        <v>45794</v>
      </c>
      <c r="K199" s="14">
        <v>13390</v>
      </c>
      <c r="L199" s="11" t="s">
        <v>25</v>
      </c>
      <c r="M199" s="14">
        <v>714000</v>
      </c>
      <c r="N199" s="9" t="str">
        <f t="shared" si="26"/>
        <v>Commercial</v>
      </c>
      <c r="O199" s="9" t="str">
        <f t="shared" si="27"/>
        <v>On Schedule</v>
      </c>
      <c r="P199" s="9" t="str">
        <f t="shared" si="28"/>
        <v>Loan eligible</v>
      </c>
      <c r="Q199" s="9">
        <f t="shared" si="29"/>
        <v>81</v>
      </c>
      <c r="R199" s="9" t="str">
        <f t="shared" si="30"/>
        <v>SS</v>
      </c>
      <c r="S199" s="9" t="str">
        <f t="shared" si="31"/>
        <v>GRN</v>
      </c>
      <c r="T199" s="9" t="str">
        <f t="shared" si="32"/>
        <v>Grace Ibe</v>
      </c>
      <c r="U199" t="str">
        <f t="shared" si="33"/>
        <v>May</v>
      </c>
    </row>
    <row r="200" spans="1:21" ht="14.25" customHeight="1" x14ac:dyDescent="0.25">
      <c r="A200" s="4">
        <v>199</v>
      </c>
      <c r="B200" s="5" t="s">
        <v>450</v>
      </c>
      <c r="C200" s="5" t="s">
        <v>291</v>
      </c>
      <c r="D200" s="5" t="s">
        <v>28</v>
      </c>
      <c r="E200" s="5" t="s">
        <v>66</v>
      </c>
      <c r="F200" s="6">
        <v>4</v>
      </c>
      <c r="G200" s="7">
        <v>45307</v>
      </c>
      <c r="H200" s="7">
        <v>45344</v>
      </c>
      <c r="I200" s="7">
        <v>45437</v>
      </c>
      <c r="J200" s="7">
        <v>45445</v>
      </c>
      <c r="K200" s="8">
        <v>4190</v>
      </c>
      <c r="L200" s="5" t="s">
        <v>25</v>
      </c>
      <c r="M200" s="8">
        <v>193000</v>
      </c>
      <c r="N200" s="9" t="str">
        <f t="shared" si="26"/>
        <v>Medium scale</v>
      </c>
      <c r="O200" s="9" t="str">
        <f t="shared" si="27"/>
        <v>Delayed</v>
      </c>
      <c r="P200" s="9" t="str">
        <f t="shared" si="28"/>
        <v>Loan eligible</v>
      </c>
      <c r="Q200" s="9">
        <f t="shared" si="29"/>
        <v>101</v>
      </c>
      <c r="R200" s="9" t="str">
        <f t="shared" si="30"/>
        <v>NE</v>
      </c>
      <c r="S200" s="9" t="str">
        <f t="shared" si="31"/>
        <v>MIL</v>
      </c>
      <c r="T200" s="9" t="str">
        <f t="shared" si="32"/>
        <v>Fatima Fashola</v>
      </c>
      <c r="U200" t="str">
        <f t="shared" si="33"/>
        <v>June</v>
      </c>
    </row>
    <row r="201" spans="1:21" ht="14.25" customHeight="1" x14ac:dyDescent="0.25">
      <c r="A201" s="10">
        <v>200</v>
      </c>
      <c r="B201" s="11" t="s">
        <v>451</v>
      </c>
      <c r="C201" s="11" t="s">
        <v>452</v>
      </c>
      <c r="D201" s="11" t="s">
        <v>33</v>
      </c>
      <c r="E201" s="11" t="s">
        <v>53</v>
      </c>
      <c r="F201" s="12">
        <v>1.2</v>
      </c>
      <c r="G201" s="13">
        <v>44983</v>
      </c>
      <c r="H201" s="13">
        <v>45115</v>
      </c>
      <c r="I201" s="13">
        <v>45242</v>
      </c>
      <c r="J201" s="13">
        <v>45266</v>
      </c>
      <c r="K201" s="14">
        <v>1140</v>
      </c>
      <c r="L201" s="11" t="s">
        <v>35</v>
      </c>
      <c r="M201" s="14">
        <v>72000</v>
      </c>
      <c r="N201" s="9"/>
      <c r="O201" s="9" t="str">
        <f t="shared" si="27"/>
        <v>Delayed</v>
      </c>
      <c r="P201" s="9" t="str">
        <f t="shared" si="28"/>
        <v>Not eligible</v>
      </c>
      <c r="Q201" s="9">
        <f t="shared" si="29"/>
        <v>151</v>
      </c>
      <c r="R201" s="9" t="str">
        <f t="shared" si="30"/>
        <v>NW</v>
      </c>
      <c r="S201" s="9" t="str">
        <f t="shared" si="31"/>
        <v>SOR</v>
      </c>
      <c r="T201" s="9" t="str">
        <f t="shared" si="32"/>
        <v>Blessing Usman</v>
      </c>
      <c r="U201" t="str">
        <f t="shared" si="33"/>
        <v>December</v>
      </c>
    </row>
    <row r="202" spans="1:21" ht="14.25" customHeight="1" x14ac:dyDescent="0.25"/>
    <row r="203" spans="1:21" ht="14.25" customHeight="1" x14ac:dyDescent="0.25"/>
    <row r="204" spans="1:21" ht="14.25" customHeight="1" x14ac:dyDescent="0.25"/>
    <row r="205" spans="1:21" ht="14.25" customHeight="1" x14ac:dyDescent="0.25"/>
    <row r="206" spans="1:21" ht="14.25" customHeight="1" x14ac:dyDescent="0.25"/>
    <row r="207" spans="1:21" ht="14.25" customHeight="1" x14ac:dyDescent="0.25"/>
    <row r="208" spans="1:21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Z201" xr:uid="{807FC88F-65E7-4F89-8E89-A6AA19EF94C9}"/>
  <pageMargins left="0.75000000000000011" right="0.75000000000000011" top="1.39375" bottom="1.39375" header="1" footer="1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Emoh</dc:creator>
  <cp:lastModifiedBy>Precious Emoh</cp:lastModifiedBy>
  <dcterms:created xsi:type="dcterms:W3CDTF">2026-08-15T17:47:13Z</dcterms:created>
  <dcterms:modified xsi:type="dcterms:W3CDTF">2026-08-15T17:48:03Z</dcterms:modified>
</cp:coreProperties>
</file>